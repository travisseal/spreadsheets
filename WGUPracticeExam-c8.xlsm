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ubmit.png" ContentType="image/.png"/>
  <Override PartName="/customUI/images/assignment.png" ContentType="image/.png"/>
  <Override PartName="/customUI/images/report.png" ContentType="image/.png"/>
  <Override PartName="/customUI/images/task.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7e3661c49774020"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codeName="ThisWorkbook"/>
  <mc:AlternateContent xmlns:mc="http://schemas.openxmlformats.org/markup-compatibility/2006">
    <mc:Choice Requires="x15">
      <x15ac:absPath xmlns:x15ac="http://schemas.microsoft.com/office/spreadsheetml/2010/11/ac" url="C:\Users\Travis\Desktop\"/>
    </mc:Choice>
  </mc:AlternateContent>
  <bookViews>
    <workbookView xWindow="0" yWindow="0" windowWidth="17970" windowHeight="5940" tabRatio="662" firstSheet="1" activeTab="5" xr2:uid="{00000000-000D-0000-FFFF-FFFF00000000}"/>
  </bookViews>
  <sheets>
    <sheet name="Enable Macros" sheetId="2" state="veryHidden" r:id="rId1"/>
    <sheet name="Get Started" sheetId="3" r:id="rId2"/>
    <sheet name="Amortization" sheetId="4" r:id="rId3"/>
    <sheet name="Four Js Painting" sheetId="5" r:id="rId4"/>
    <sheet name="Google" sheetId="6" r:id="rId5"/>
    <sheet name="Spending" sheetId="7" r:id="rId6"/>
    <sheet name="Event Profit" sheetId="8" r:id="rId7"/>
    <sheet name="Past Events" sheetId="9" r:id="rId8"/>
    <sheet name="PivotTable Questions" sheetId="10" r:id="rId9"/>
    <sheet name="Bakery" sheetId="11" r:id="rId10"/>
    <sheet name="Options" sheetId="12" state="veryHidden" r:id="rId11"/>
  </sheets>
  <functionGroups builtInGroupCount="19"/>
  <externalReferences>
    <externalReference r:id="rId12"/>
    <externalReference r:id="rId13"/>
  </externalReferences>
  <definedNames>
    <definedName name="Q1Options">Options!$A$2:$A$4</definedName>
    <definedName name="Q1PT">Options!$A$28:$A$30</definedName>
    <definedName name="Q2Options">Options!$A$7:$A$11</definedName>
    <definedName name="Q2PT">Options!$A$33:$A$38</definedName>
    <definedName name="Q3Options">Options!$A$14:$A$16</definedName>
    <definedName name="Q3PT">Options!$A$41:$A$45</definedName>
    <definedName name="Q4Options">Options!$A$19:$A$21</definedName>
    <definedName name="Q4PT">Options!$A$48:$A$52</definedName>
    <definedName name="Q5Options">Options!$A$24:$A$25</definedName>
    <definedName name="Q5PT">Options!$A$55:$A$59</definedName>
    <definedName name="roomrates">'[1]KEY_Room Rates'!$B$5:$D$8</definedName>
    <definedName name="TargetName" hidden="1">#REF!</definedName>
    <definedName name="taskSets">[1]igTaskSets!#REF!</definedName>
    <definedName name="url">'[2]Craigs List'!$B$5</definedName>
    <definedName name="VB1M" hidden="1">"right now"</definedName>
    <definedName name="VB1V" hidden="1">-4</definedName>
    <definedName name="zA" hidden="1">"Africa"</definedName>
    <definedName name="zAPts" hidden="1">65</definedName>
    <definedName name="zLoc1" hidden="1">#REF!</definedName>
    <definedName name="zLoc10" hidden="1">#REF!</definedName>
    <definedName name="zLoc11" hidden="1">#REF!</definedName>
    <definedName name="zLoc12" hidden="1">#REF!</definedName>
    <definedName name="zLoc13" hidden="1">#REF!</definedName>
    <definedName name="zLoc14" hidden="1">#REF!</definedName>
    <definedName name="zLoc15" hidden="1">#REF!</definedName>
    <definedName name="zLoc16" hidden="1">#REF!</definedName>
    <definedName name="zLoc17" hidden="1">#REF!</definedName>
    <definedName name="zLoc18" hidden="1">#REF!</definedName>
    <definedName name="zLoc19" hidden="1">#REF!</definedName>
    <definedName name="zLoc2" hidden="1">#REF!</definedName>
    <definedName name="zLoc20" hidden="1">#REF!</definedName>
    <definedName name="zLoc21" hidden="1">#REF!</definedName>
    <definedName name="zLoc22" hidden="1">#REF!</definedName>
    <definedName name="zLoc23" hidden="1">#REF!</definedName>
    <definedName name="zLoc24" hidden="1">#REF!</definedName>
    <definedName name="zLoc25" hidden="1">#REF!</definedName>
    <definedName name="zLoc26" hidden="1">#REF!</definedName>
    <definedName name="zLoc27" hidden="1">#REF!</definedName>
    <definedName name="zLoc28" hidden="1">#REF!</definedName>
    <definedName name="zLoc29" hidden="1">#REF!</definedName>
    <definedName name="zLoc3" hidden="1">#REF!</definedName>
    <definedName name="zLoc30" hidden="1">#REF!</definedName>
    <definedName name="zLoc31" hidden="1">#REF!</definedName>
    <definedName name="zLoc32" hidden="1">#REF!</definedName>
    <definedName name="zLoc33" hidden="1">#REF!</definedName>
    <definedName name="zLoc34" hidden="1">#REF!</definedName>
    <definedName name="zLoc35" hidden="1">#REF!</definedName>
    <definedName name="zLoc36" hidden="1">#REF!</definedName>
    <definedName name="zLoc37" hidden="1">#REF!</definedName>
    <definedName name="zLoc38" hidden="1">#REF!</definedName>
    <definedName name="zLoc39" hidden="1">#REF!</definedName>
    <definedName name="zLoc4" hidden="1">#REF!</definedName>
    <definedName name="zLoc40" hidden="1">#REF!</definedName>
    <definedName name="zLoc41" hidden="1">#REF!</definedName>
    <definedName name="zLoc42" hidden="1">#REF!</definedName>
    <definedName name="zLoc43" hidden="1">#REF!</definedName>
    <definedName name="zLoc44" hidden="1">#REF!</definedName>
    <definedName name="zLoc45" hidden="1">#REF!</definedName>
    <definedName name="zLoc46" hidden="1">#REF!</definedName>
    <definedName name="zLoc47" hidden="1">#REF!</definedName>
    <definedName name="zLoc48" hidden="1">#REF!</definedName>
    <definedName name="zLoc49" hidden="1">#REF!</definedName>
    <definedName name="zLoc5" hidden="1">#REF!</definedName>
    <definedName name="zLoc50" hidden="1">#REF!</definedName>
    <definedName name="zLoc51" hidden="1">#REF!</definedName>
    <definedName name="zLoc52" hidden="1">#REF!</definedName>
    <definedName name="zLoc53" hidden="1">#REF!</definedName>
    <definedName name="zLoc54" hidden="1">#REF!</definedName>
    <definedName name="zLoc55" hidden="1">#REF!</definedName>
    <definedName name="zLoc56" hidden="1">#REF!</definedName>
    <definedName name="zLoc57" hidden="1">#REF!</definedName>
    <definedName name="zLoc58" hidden="1">#REF!</definedName>
    <definedName name="zLoc59" hidden="1">#REF!</definedName>
    <definedName name="zLoc6" hidden="1">#REF!</definedName>
    <definedName name="zLoc60" hidden="1">#REF!</definedName>
    <definedName name="zLoc61" hidden="1">#REF!</definedName>
    <definedName name="zLoc62" hidden="1">#REF!</definedName>
    <definedName name="zLoc63" hidden="1">#REF!</definedName>
    <definedName name="zLoc64" hidden="1">#REF!</definedName>
    <definedName name="zLoc65" hidden="1">#REF!</definedName>
    <definedName name="zLoc66" hidden="1">#REF!</definedName>
    <definedName name="zLoc67" hidden="1">#REF!</definedName>
    <definedName name="zLoc68" hidden="1">#REF!</definedName>
    <definedName name="zLoc69" hidden="1">#REF!</definedName>
    <definedName name="zLoc7" hidden="1">#REF!</definedName>
    <definedName name="zLoc70" hidden="1">#REF!</definedName>
    <definedName name="zLoc71" hidden="1">#REF!</definedName>
    <definedName name="zLoc72" hidden="1">#REF!</definedName>
    <definedName name="zLoc73" hidden="1">#REF!</definedName>
    <definedName name="zLoc74" hidden="1">#REF!</definedName>
    <definedName name="zLoc75" hidden="1">#REF!</definedName>
    <definedName name="zLoc8" hidden="1">#REF!</definedName>
    <definedName name="zLoc9" hidden="1">#REF!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7" l="1"/>
  <c r="D12" i="7"/>
  <c r="D11" i="7"/>
  <c r="D10" i="7"/>
  <c r="O17" i="5"/>
  <c r="O18" i="5"/>
  <c r="O19" i="5"/>
  <c r="O20" i="5"/>
  <c r="O21" i="5"/>
  <c r="O22" i="5"/>
  <c r="O23" i="5"/>
  <c r="O24" i="5"/>
  <c r="O25" i="5"/>
  <c r="O26" i="5"/>
  <c r="O27" i="5"/>
  <c r="O28" i="5"/>
  <c r="O29" i="5"/>
  <c r="O30" i="5"/>
  <c r="O31" i="5"/>
  <c r="O32" i="5"/>
  <c r="O33" i="5"/>
  <c r="O34" i="5"/>
  <c r="O35" i="5"/>
  <c r="O16" i="5"/>
  <c r="M17" i="5"/>
  <c r="M18" i="5"/>
  <c r="M19" i="5"/>
  <c r="M20" i="5"/>
  <c r="M21" i="5"/>
  <c r="M22" i="5"/>
  <c r="M23" i="5"/>
  <c r="M24" i="5"/>
  <c r="M25" i="5"/>
  <c r="M26" i="5"/>
  <c r="M27" i="5"/>
  <c r="M28" i="5"/>
  <c r="M29" i="5"/>
  <c r="M30" i="5"/>
  <c r="M31" i="5"/>
  <c r="M32" i="5"/>
  <c r="M33" i="5"/>
  <c r="M34" i="5"/>
  <c r="M35" i="5"/>
  <c r="M16" i="5"/>
  <c r="L17" i="5"/>
  <c r="L18" i="5"/>
  <c r="L19" i="5"/>
  <c r="L20" i="5"/>
  <c r="L21" i="5"/>
  <c r="L22" i="5"/>
  <c r="L23" i="5"/>
  <c r="L24" i="5"/>
  <c r="L25" i="5"/>
  <c r="L26" i="5"/>
  <c r="L27" i="5"/>
  <c r="L28" i="5"/>
  <c r="L29" i="5"/>
  <c r="L30" i="5"/>
  <c r="L31" i="5"/>
  <c r="L32" i="5"/>
  <c r="L33" i="5"/>
  <c r="L34" i="5"/>
  <c r="L35" i="5"/>
  <c r="L16" i="5"/>
  <c r="J17" i="5"/>
  <c r="J18" i="5"/>
  <c r="J19" i="5"/>
  <c r="J20" i="5"/>
  <c r="J21" i="5"/>
  <c r="J22" i="5"/>
  <c r="J23" i="5"/>
  <c r="J24" i="5"/>
  <c r="J25" i="5"/>
  <c r="J26" i="5"/>
  <c r="J27" i="5"/>
  <c r="J28" i="5"/>
  <c r="J29" i="5"/>
  <c r="J30" i="5"/>
  <c r="J31" i="5"/>
  <c r="J32" i="5"/>
  <c r="J33" i="5"/>
  <c r="J34" i="5"/>
  <c r="J35" i="5"/>
  <c r="J16" i="5"/>
  <c r="I17" i="5"/>
  <c r="I18" i="5"/>
  <c r="I19" i="5"/>
  <c r="I20" i="5"/>
  <c r="I21" i="5"/>
  <c r="I22" i="5"/>
  <c r="I23" i="5"/>
  <c r="I24" i="5"/>
  <c r="I25" i="5"/>
  <c r="I26" i="5"/>
  <c r="I27" i="5"/>
  <c r="I28" i="5"/>
  <c r="I29" i="5"/>
  <c r="I30" i="5"/>
  <c r="I31" i="5"/>
  <c r="I32" i="5"/>
  <c r="I33" i="5"/>
  <c r="I34" i="5"/>
  <c r="I35" i="5"/>
  <c r="I16" i="5"/>
  <c r="N47" i="5"/>
  <c r="N48" i="5"/>
  <c r="N49" i="5"/>
  <c r="N50" i="5"/>
  <c r="N46" i="5"/>
  <c r="K47" i="5"/>
  <c r="K48" i="5"/>
  <c r="K49" i="5"/>
  <c r="K50" i="5"/>
  <c r="K46" i="5"/>
  <c r="J47" i="5"/>
  <c r="J48" i="5"/>
  <c r="J49" i="5"/>
  <c r="J50" i="5"/>
  <c r="J46" i="5"/>
  <c r="D41" i="5"/>
  <c r="D42" i="5"/>
  <c r="D43" i="5"/>
  <c r="D44" i="5"/>
  <c r="D45" i="5"/>
  <c r="D46" i="5"/>
  <c r="D40" i="5"/>
  <c r="J40" i="5"/>
  <c r="J41" i="5"/>
  <c r="J42" i="5"/>
  <c r="J39" i="5"/>
  <c r="I40" i="5"/>
  <c r="I41" i="5"/>
  <c r="I42" i="5"/>
  <c r="I39" i="5"/>
  <c r="H40" i="5"/>
  <c r="H41" i="5"/>
  <c r="H42" i="5"/>
  <c r="H39" i="5"/>
  <c r="C41" i="5"/>
  <c r="C42" i="5"/>
  <c r="C43" i="5"/>
  <c r="C44" i="5"/>
  <c r="C45" i="5"/>
  <c r="C46" i="5"/>
  <c r="C40" i="5"/>
  <c r="F26" i="5"/>
  <c r="F27" i="5"/>
  <c r="F28" i="5"/>
  <c r="F29" i="5"/>
  <c r="F30" i="5"/>
  <c r="F31" i="5"/>
  <c r="F32" i="5"/>
  <c r="F33" i="5"/>
  <c r="F34" i="5"/>
  <c r="F35" i="5"/>
  <c r="F17" i="5"/>
  <c r="F18" i="5"/>
  <c r="F19" i="5"/>
  <c r="F20" i="5"/>
  <c r="F21" i="5"/>
  <c r="F22" i="5"/>
  <c r="F23" i="5"/>
  <c r="F24" i="5"/>
  <c r="F25" i="5"/>
  <c r="F16" i="5"/>
  <c r="G14" i="4"/>
  <c r="G13" i="4"/>
  <c r="G12" i="4"/>
  <c r="F21" i="4"/>
  <c r="F22" i="4" s="1"/>
  <c r="F23" i="4" s="1"/>
  <c r="F24" i="4" s="1"/>
  <c r="F25" i="4" s="1"/>
  <c r="F26" i="4" s="1"/>
  <c r="F27" i="4" s="1"/>
  <c r="F28" i="4" s="1"/>
  <c r="F29" i="4" s="1"/>
  <c r="F30" i="4" s="1"/>
  <c r="F31" i="4" s="1"/>
  <c r="F32" i="4" s="1"/>
  <c r="F33" i="4" s="1"/>
  <c r="F34" i="4" s="1"/>
  <c r="F35" i="4" s="1"/>
  <c r="F36" i="4" s="1"/>
  <c r="F37" i="4" s="1"/>
  <c r="F38" i="4" s="1"/>
  <c r="F39" i="4" s="1"/>
  <c r="F40" i="4" s="1"/>
  <c r="F41" i="4" s="1"/>
  <c r="F42" i="4" s="1"/>
  <c r="F43" i="4" s="1"/>
  <c r="F44" i="4" s="1"/>
  <c r="F45" i="4" s="1"/>
  <c r="F46" i="4" s="1"/>
  <c r="F47" i="4" s="1"/>
  <c r="F48" i="4" s="1"/>
  <c r="F49" i="4" s="1"/>
  <c r="F50" i="4" s="1"/>
  <c r="F51" i="4" s="1"/>
  <c r="F52" i="4" s="1"/>
  <c r="F53" i="4" s="1"/>
  <c r="F54" i="4" s="1"/>
  <c r="F55" i="4" s="1"/>
  <c r="F56" i="4" s="1"/>
  <c r="F57" i="4" s="1"/>
  <c r="F58" i="4" s="1"/>
  <c r="F59" i="4" s="1"/>
  <c r="F60" i="4" s="1"/>
  <c r="F61" i="4" s="1"/>
  <c r="F62" i="4" s="1"/>
  <c r="F63" i="4" s="1"/>
  <c r="F64" i="4" s="1"/>
  <c r="F65" i="4" s="1"/>
  <c r="F66" i="4" s="1"/>
  <c r="F67" i="4" s="1"/>
  <c r="F20"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21" i="4"/>
  <c r="D22" i="4"/>
  <c r="D23" i="4"/>
  <c r="D24" i="4"/>
  <c r="D20"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21" i="4"/>
  <c r="E22" i="4"/>
  <c r="E23" i="4"/>
  <c r="E24" i="4"/>
  <c r="E25" i="4"/>
  <c r="E26" i="4"/>
  <c r="E27" i="4"/>
  <c r="E28" i="4"/>
  <c r="E29" i="4"/>
  <c r="E30" i="4"/>
  <c r="E31" i="4"/>
  <c r="E32" i="4"/>
  <c r="E33" i="4"/>
  <c r="E34" i="4"/>
  <c r="E20" i="4"/>
  <c r="C15" i="4"/>
  <c r="C20" i="4" s="1"/>
  <c r="L46" i="5" l="1"/>
  <c r="M46" i="5" s="1"/>
  <c r="L50" i="5"/>
  <c r="M50" i="5" s="1"/>
  <c r="L49" i="5"/>
  <c r="M49" i="5" s="1"/>
  <c r="L48" i="5"/>
  <c r="M48" i="5" s="1"/>
  <c r="C54" i="4"/>
  <c r="C50" i="4"/>
  <c r="C46" i="4"/>
  <c r="C42" i="4"/>
  <c r="C38" i="4"/>
  <c r="C34" i="4"/>
  <c r="C30" i="4"/>
  <c r="C26" i="4"/>
  <c r="C22" i="4"/>
  <c r="C48" i="4"/>
  <c r="C44" i="4"/>
  <c r="C40" i="4"/>
  <c r="C36" i="4"/>
  <c r="C32" i="4"/>
  <c r="C28" i="4"/>
  <c r="C24" i="4"/>
  <c r="C51" i="4"/>
  <c r="C47" i="4"/>
  <c r="C43" i="4"/>
  <c r="C39" i="4"/>
  <c r="C35" i="4"/>
  <c r="C31" i="4"/>
  <c r="C27" i="4"/>
  <c r="C23" i="4"/>
  <c r="C53" i="4"/>
  <c r="C49" i="4"/>
  <c r="C45" i="4"/>
  <c r="C41" i="4"/>
  <c r="C37" i="4"/>
  <c r="C33" i="4"/>
  <c r="C29" i="4"/>
  <c r="C25" i="4"/>
  <c r="C21" i="4"/>
  <c r="C52" i="4"/>
  <c r="C35" i="11"/>
  <c r="C34" i="11"/>
  <c r="C33" i="11"/>
  <c r="C32" i="11"/>
  <c r="C31" i="11"/>
  <c r="C30" i="11"/>
  <c r="F19" i="11"/>
  <c r="E19" i="11"/>
  <c r="C37" i="11" s="1"/>
  <c r="D19" i="11"/>
  <c r="C19" i="11"/>
  <c r="L47" i="5"/>
  <c r="M47" i="5" s="1"/>
  <c r="N42" i="5"/>
  <c r="M42" i="5"/>
  <c r="N41" i="5"/>
  <c r="M41" i="5"/>
  <c r="N40" i="5"/>
  <c r="M40" i="5"/>
  <c r="M39" i="5"/>
  <c r="K35" i="5"/>
  <c r="N35" i="5" s="1"/>
  <c r="K34" i="5"/>
  <c r="N34" i="5" s="1"/>
  <c r="K33" i="5"/>
  <c r="N33" i="5" s="1"/>
  <c r="K32" i="5"/>
  <c r="N32" i="5" s="1"/>
  <c r="K31" i="5"/>
  <c r="N31" i="5" s="1"/>
  <c r="K30" i="5"/>
  <c r="N30" i="5" s="1"/>
  <c r="K29" i="5"/>
  <c r="N29" i="5" s="1"/>
  <c r="K28" i="5"/>
  <c r="N28" i="5" s="1"/>
  <c r="K27" i="5"/>
  <c r="N27" i="5" s="1"/>
  <c r="K26" i="5"/>
  <c r="N26" i="5" s="1"/>
  <c r="K25" i="5"/>
  <c r="N25" i="5" s="1"/>
  <c r="K24" i="5"/>
  <c r="N24" i="5" s="1"/>
  <c r="K23" i="5"/>
  <c r="N23" i="5" s="1"/>
  <c r="K22" i="5"/>
  <c r="N22" i="5" s="1"/>
  <c r="K21" i="5"/>
  <c r="N21" i="5" s="1"/>
  <c r="K20" i="5"/>
  <c r="N20" i="5" s="1"/>
  <c r="K19" i="5"/>
  <c r="N19" i="5" s="1"/>
  <c r="K18" i="5"/>
  <c r="N18" i="5" s="1"/>
  <c r="K17" i="5"/>
  <c r="N17" i="5" s="1"/>
  <c r="K16" i="5"/>
  <c r="N16" i="5" s="1"/>
  <c r="C67" i="4"/>
  <c r="C66" i="4"/>
  <c r="C65" i="4"/>
  <c r="C64" i="4"/>
  <c r="C63" i="4"/>
  <c r="C62" i="4"/>
  <c r="C61" i="4"/>
  <c r="C60" i="4"/>
  <c r="C59" i="4"/>
  <c r="C58" i="4"/>
  <c r="C57" i="4"/>
  <c r="C56" i="4"/>
  <c r="C55" i="4"/>
  <c r="F19" i="4"/>
  <c r="N39" i="5"/>
</calcChain>
</file>

<file path=xl/sharedStrings.xml><?xml version="1.0" encoding="utf-8"?>
<sst xmlns="http://schemas.openxmlformats.org/spreadsheetml/2006/main" count="527" uniqueCount="232">
  <si>
    <t/>
  </si>
  <si>
    <t>End Sub</t>
  </si>
  <si>
    <t>Sub assignmentSpecificCode(Optional junk As Boolean)</t>
  </si>
  <si>
    <t>End Function</t>
  </si>
  <si>
    <t xml:space="preserve">  End Select</t>
  </si>
  <si>
    <t xml:space="preserve">    Case Else: runAssignmentSpecificTool = False</t>
  </si>
  <si>
    <t xml:space="preserve">  '  Case "Show Time": show_time f</t>
  </si>
  <si>
    <t xml:space="preserve">  Select Case f.cboTool.value</t>
  </si>
  <si>
    <t xml:space="preserve">  runAssignmentSpecificTool = True</t>
  </si>
  <si>
    <t>Function runAssignmentSpecificTool(f As frmSubmit) As Boolean</t>
  </si>
  <si>
    <t xml:space="preserve"> </t>
  </si>
  <si>
    <t xml:space="preserve">  'f.cboTool.AddItem "Show Time"</t>
  </si>
  <si>
    <t xml:space="preserve">  </t>
  </si>
  <si>
    <t xml:space="preserve">  'this proc is called by frmSubmit to build names of assignment-specific tools</t>
  </si>
  <si>
    <t>Sub loadAssignmentSpecificTools(f As frmSubmit)</t>
  </si>
  <si>
    <t>' this module is for code that is very specific to a particular assignment,  It is not  archived to the code vault</t>
  </si>
  <si>
    <t>Using the Assignment Tools to Complete This Exam</t>
  </si>
  <si>
    <t>The tools for working with this exam are found in the Assignment menu.</t>
  </si>
  <si>
    <t>The Instruction Sheet icon displays all tasks for the exam at the same time in your Internet browser.</t>
  </si>
  <si>
    <t>The Task Guide icon displays each of the exam tasks, one at a time, in a floating window in Excel.</t>
  </si>
  <si>
    <t>The Submit icon initiates the grading process. Pay attention to any alerts that are displayed.</t>
  </si>
  <si>
    <t>The View Report icon displays your feedback from your last submission.</t>
  </si>
  <si>
    <t>You have decided to purchase a new car. You plan to take out a loan to pay for the car. The loan amount is $18,900. You will pay an interest rate of 6.5% and plan to pay off the car in 48 months. You want to calculate the total amount of money and the total amount of interest you will pay over the course of the loan. To help you with these calculations, you decide to construct an amortization table. An amortization table provides details about the payment, interest amount, principal amount, and loan balance for every month of the loan. Perform the tasks below to complete the amortization table and loan summary calculations.</t>
  </si>
  <si>
    <t>Loan Amount</t>
  </si>
  <si>
    <t>Loan Summary</t>
  </si>
  <si>
    <t>Term (months)</t>
  </si>
  <si>
    <t>Total Amount Paid</t>
  </si>
  <si>
    <t>Interest Rate</t>
  </si>
  <si>
    <t>Total Interest Paid</t>
  </si>
  <si>
    <t>SUM Check Calculation</t>
  </si>
  <si>
    <t>Payment</t>
  </si>
  <si>
    <t>Buy new in Period 36?</t>
  </si>
  <si>
    <t>Period</t>
  </si>
  <si>
    <t>Interest</t>
  </si>
  <si>
    <t>Principal</t>
  </si>
  <si>
    <t>Balance</t>
  </si>
  <si>
    <t>Four J's Painting is a home painting contractor that completes interior painting work for new construction projects. Four J's Painting has four employees: Jim, Jill, Jake, and Jennifer. You have been hired to determine how the company can be more efficient and provide better service. You have tracked information on the last 20 painting projects in table 1. Employees receive bonuses for efficient and high-quality work. Occasionally, some jobs require additional work to correct flaws (touch-up work). Information about the projects that required touch-up work is stored in table 2. Table 3 summarizes information about the employees. Table 4 categorizes the projects according to difficulty. Complete tables 1 through 4 to determine how to more efficiently and effectively run the company. Complete each task so that the formulas you use can be copied and pasted down to complete the columns of the tables. Do not name your lookup tables; rather, you should keep them as references (e.g. B16:C30).</t>
  </si>
  <si>
    <t>Employee Wage Information</t>
  </si>
  <si>
    <t>Bonus Information</t>
  </si>
  <si>
    <t>Employee</t>
  </si>
  <si>
    <t>Jim</t>
  </si>
  <si>
    <t>Jill</t>
  </si>
  <si>
    <t>Jake</t>
  </si>
  <si>
    <t>Jennifer</t>
  </si>
  <si>
    <t>Time</t>
  </si>
  <si>
    <t>Hourly Wage</t>
  </si>
  <si>
    <t>Outcome</t>
  </si>
  <si>
    <t>Table 1 - Painting Projects</t>
  </si>
  <si>
    <t>Job ID</t>
  </si>
  <si>
    <t>Estimated Hours</t>
  </si>
  <si>
    <t>Hours Worked</t>
  </si>
  <si>
    <t>Difficulty</t>
  </si>
  <si>
    <t>Quality</t>
  </si>
  <si>
    <t>Time Bonus?</t>
  </si>
  <si>
    <t>Outcome Bonus?</t>
  </si>
  <si>
    <t>Job Pay</t>
  </si>
  <si>
    <t>Time Bonus $</t>
  </si>
  <si>
    <t>Outcome Bonus $</t>
  </si>
  <si>
    <t>Total Pay</t>
  </si>
  <si>
    <t>Comments</t>
  </si>
  <si>
    <t>Table 3 - Employee Summary</t>
  </si>
  <si>
    <t>Table 2 - Touchup Projects</t>
  </si>
  <si>
    <t># of Jobs</t>
  </si>
  <si>
    <t>Total Hours</t>
  </si>
  <si>
    <t># of Touch-ups</t>
  </si>
  <si>
    <t>Cost Touch-ups</t>
  </si>
  <si>
    <t>Average Cost/Job</t>
  </si>
  <si>
    <t>True Cost/Hour</t>
  </si>
  <si>
    <t>Cost</t>
  </si>
  <si>
    <t>Table 4 - Project Summary by Difficulty</t>
  </si>
  <si>
    <t>Total Cost</t>
  </si>
  <si>
    <t>Average Hours/Job</t>
  </si>
  <si>
    <t>Review the following two tables that detail the revenue for Google, Inc. from 2003 to 2010. Complete the tasks to construct a column, stacked column, pie, and line chart and to discover patterns or trends in revenue across the eight years.</t>
  </si>
  <si>
    <t>Table 1. Google, Inc. Revenue by Quarter (in millions of dollars)</t>
  </si>
  <si>
    <t>Quarter</t>
  </si>
  <si>
    <t>Total Q1 Revenue</t>
  </si>
  <si>
    <t>Total Q2 Revenue</t>
  </si>
  <si>
    <t>Total Q3 Revenue</t>
  </si>
  <si>
    <t>Total Q4 Revenue</t>
  </si>
  <si>
    <t>Total Annual Revenue</t>
  </si>
  <si>
    <t>Table 2. Google, Inc. Revenue by Business Segment (in millions of dollars)</t>
  </si>
  <si>
    <t>Segment</t>
  </si>
  <si>
    <t>Google Web Sites</t>
  </si>
  <si>
    <t>Google Network Web Sites</t>
  </si>
  <si>
    <t>Other Revenues</t>
  </si>
  <si>
    <t>Total Annual Revenue 2</t>
  </si>
  <si>
    <t>You have created a worksheet (“Spending”) to help you track your spending for the month of August. You are able to download your debit card transactions from your bank's website, but the information is not presented in a clear way. The transaction information includes a time stamp (a number that the bank associates with a specific date and time), merchant ID, and amount for each of the 63 transactions you made in August. You have decided to use what you know about how Excel handles dates, times, and text to reformat the information you received from your bank and make it easier to read and understand. Complete the table below by performing each of the tasks. In the rightmost column of the table, you will create a statement about each transaction. This statement follows the format of the template in cell D9. Because there may be more than one way to complete each field of the table, use the functions suggested in each of the task descriptions.</t>
  </si>
  <si>
    <t>Template</t>
  </si>
  <si>
    <t xml:space="preserve">I spent $ at merchant # on: </t>
  </si>
  <si>
    <t>Length</t>
  </si>
  <si>
    <t>Position of "#"</t>
  </si>
  <si>
    <t>Position of "$"</t>
  </si>
  <si>
    <t>Statement P1</t>
  </si>
  <si>
    <t>Statement P2</t>
  </si>
  <si>
    <t>Statement P3</t>
  </si>
  <si>
    <t>Time Stamp</t>
  </si>
  <si>
    <t>Merchant ID</t>
  </si>
  <si>
    <t>Amount</t>
  </si>
  <si>
    <t>Month</t>
  </si>
  <si>
    <t>Day</t>
  </si>
  <si>
    <t>Hour</t>
  </si>
  <si>
    <t>Minute</t>
  </si>
  <si>
    <t>Second</t>
  </si>
  <si>
    <t>Date</t>
  </si>
  <si>
    <t>Transaction Statement</t>
  </si>
  <si>
    <t>Model Inputs</t>
  </si>
  <si>
    <t>Input Analysis</t>
  </si>
  <si>
    <t>You are the owner of a small business that manages the program, food, and merchandise sales at the Excel Center, where the local professional basketball team plays. In addition to basketball games, the Excel Center hosts dozens of events a year. Your company handles all sales made inside the arena. There are three major products you sell: programs, food, and merchandise. You have decided to build a spreadsheet model to help you analyze and project the profitability of future events. The “Event Profit” worksheet contains this model. You have randomly selected sales and attendance data from a number of past events to help build your model. This data can be found on the “Past Events” worksheet. You will analyze this data in order to obtain appropriate values to develop the model. Complete the tasks to finish the model. Whenever possible, reference cells rather than hard-coding values in the cells of your worksheet.</t>
  </si>
  <si>
    <t>Product Type</t>
  </si>
  <si>
    <t>Programs</t>
  </si>
  <si>
    <t>Food</t>
  </si>
  <si>
    <t>Merchandise</t>
  </si>
  <si>
    <t># of Events</t>
  </si>
  <si>
    <t>Cost of Goods Sold (COGS)</t>
  </si>
  <si>
    <t>Commission</t>
  </si>
  <si>
    <t>Statistic</t>
  </si>
  <si>
    <t>Attendance</t>
  </si>
  <si>
    <t>Fixed Costs</t>
  </si>
  <si>
    <t>Average</t>
  </si>
  <si>
    <t>Employees (% of Expected Profit)</t>
  </si>
  <si>
    <t>Standard Deviation</t>
  </si>
  <si>
    <t>Salary (per employee)</t>
  </si>
  <si>
    <t>95% Confidence Interval</t>
  </si>
  <si>
    <t>Arena Fee</t>
  </si>
  <si>
    <t>Event Profitability Analysis</t>
  </si>
  <si>
    <t>Correlation with Attendance</t>
  </si>
  <si>
    <t>Gross Profit</t>
  </si>
  <si>
    <t>Sales</t>
  </si>
  <si>
    <t>Sales Forecast</t>
  </si>
  <si>
    <t>Upper Limit for Sales</t>
  </si>
  <si>
    <t>Lower Limit for Sales</t>
  </si>
  <si>
    <t>Operating Expenses</t>
  </si>
  <si>
    <t>What-if Analysis</t>
  </si>
  <si>
    <t>Salary Expenses</t>
  </si>
  <si>
    <t>Attendance Forecast</t>
  </si>
  <si>
    <t>Commissions</t>
  </si>
  <si>
    <t>Total Operating Expenses</t>
  </si>
  <si>
    <t>Profit before Arena Fee</t>
  </si>
  <si>
    <t>Number of Employees</t>
  </si>
  <si>
    <t>Profit Summary</t>
  </si>
  <si>
    <t>Total</t>
  </si>
  <si>
    <t>Questions</t>
  </si>
  <si>
    <t>Question 1: The sales for which product type are most highly correlated with attendance?</t>
  </si>
  <si>
    <t>Question 2: How likely is it that food sales would exceed $220,000 if attendance is 18000?</t>
  </si>
  <si>
    <t>Net Profit</t>
  </si>
  <si>
    <t>Question 3: Which product generates the largest gross profit?</t>
  </si>
  <si>
    <t>Question 4: Which product will require the fewest employees?</t>
  </si>
  <si>
    <t>Question 5: Would the event be profitable with a 150,000 arena fee if 15000 people were in attendance?</t>
  </si>
  <si>
    <t>Randomly Selected Past Events</t>
  </si>
  <si>
    <t>Event</t>
  </si>
  <si>
    <t>Crowd Size</t>
  </si>
  <si>
    <t>Type</t>
  </si>
  <si>
    <t>Fair</t>
  </si>
  <si>
    <t>Sporting Event</t>
  </si>
  <si>
    <t>Good</t>
  </si>
  <si>
    <t>Concert</t>
  </si>
  <si>
    <t>Excellent</t>
  </si>
  <si>
    <t>Other Event</t>
  </si>
  <si>
    <t>Poor</t>
  </si>
  <si>
    <t>You are the owner of a small business that manages the program, food, and merchandise sales at the Excel Center, where the local professional basketball team plays. In addition to basketball games, the Excel Center hosts dozens of events a year. Your company handles all sales inside the arena. There are three major products you sell: programs, food, and merchandise. You have randomly selected sales and attendance data from a number of past events to help build your model. This data can be found on the “Past Events” worksheet. You have classified each event as a “Sporting Event,” “Concert,” or “Other Event.” You have also classified each event by the attendance at that event as “Poor” (less than 10,000 people in attendance), “Fair” (between 10,000 and 15,000 people in attendance), “Good” (between 15,000 and 20,000 people in attendance), or “Excellent” (more than 20,000 people in attendance). Complete the tasks to build each of the PivotTables described. Make sure you create a new PivotTable when a task asks you to construct a PivotTable; place that PivotTable on an appropriately named worksheet. For each question, select the answer from the drop-down list that is closest to the answer you found in your analysis.</t>
  </si>
  <si>
    <t>PivotTable Questions</t>
  </si>
  <si>
    <t>Question 1 - Which type of event (“Concert,” “Sporting Event,” or “Other Event”) has the largest average attendance?</t>
  </si>
  <si>
    <t>Question 2 – For only those events with “Excellent” crowd sizes, how much total merchandise revenue was earned?</t>
  </si>
  <si>
    <t>Question 3 – What percent of events with “Fair” crowd sizes were sporting events?</t>
  </si>
  <si>
    <t>Question 4 – What percent of all concerts had a crowd size of “Excellent”?</t>
  </si>
  <si>
    <t>Question 5 – How much more money from food sales has been generated at concerts than at other events, not including sporting events, for events in the sample?</t>
  </si>
  <si>
    <t>Your bakery makes a variety of products: cookies, cupcakes, muffins, and donuts. You want to maximize your profit by optimizing the mix of products you make. You cannot use any more materials or labor than is available, nor do you want to make more goods than the amount that is demanded because the excess would go to waste. You only make batches of a complete dozen, so make sure the changing cells are integers. Use Solver to calculate the optimal number of dozens of product to make.</t>
  </si>
  <si>
    <t>Cookies</t>
  </si>
  <si>
    <t>Cupcakes</t>
  </si>
  <si>
    <t>Muffins</t>
  </si>
  <si>
    <t>Donuts</t>
  </si>
  <si>
    <t>Produced in dozens</t>
  </si>
  <si>
    <t>Demand in dozens</t>
  </si>
  <si>
    <t>Price/Dozen</t>
  </si>
  <si>
    <t>Cost/Dozen</t>
  </si>
  <si>
    <t>Profit/Dozen</t>
  </si>
  <si>
    <t>Materials used per dozen</t>
  </si>
  <si>
    <t>Flour</t>
  </si>
  <si>
    <t>Sugar</t>
  </si>
  <si>
    <t>Eggs</t>
  </si>
  <si>
    <t>Butter</t>
  </si>
  <si>
    <t>Chocolate Chips</t>
  </si>
  <si>
    <t>Labor Hours</t>
  </si>
  <si>
    <t>Used</t>
  </si>
  <si>
    <t>Available</t>
  </si>
  <si>
    <t>Profit</t>
  </si>
  <si>
    <t>Question 1</t>
  </si>
  <si>
    <t>Question 2</t>
  </si>
  <si>
    <t>&lt; 5% chance</t>
  </si>
  <si>
    <t>&gt; 5% chance</t>
  </si>
  <si>
    <t>About a 50% chance</t>
  </si>
  <si>
    <t>&gt; 95% chance</t>
  </si>
  <si>
    <t>Impossible to say</t>
  </si>
  <si>
    <t>Question 3</t>
  </si>
  <si>
    <t>Question 4</t>
  </si>
  <si>
    <t>Question 5</t>
  </si>
  <si>
    <t>Yes</t>
  </si>
  <si>
    <t>No</t>
  </si>
  <si>
    <t>Question 1 PT</t>
  </si>
  <si>
    <t>Question 2 PT</t>
  </si>
  <si>
    <t>$2 million</t>
  </si>
  <si>
    <t>$4 million</t>
  </si>
  <si>
    <t>$7 million</t>
  </si>
  <si>
    <t>$12 million</t>
  </si>
  <si>
    <t>$16 million</t>
  </si>
  <si>
    <t>$20 million</t>
  </si>
  <si>
    <t>Question 3 PT</t>
  </si>
  <si>
    <t>20%</t>
  </si>
  <si>
    <t>36%</t>
  </si>
  <si>
    <t>47%</t>
  </si>
  <si>
    <t>51%</t>
  </si>
  <si>
    <t>54%</t>
  </si>
  <si>
    <t>Question 4 PT</t>
  </si>
  <si>
    <t>5%</t>
  </si>
  <si>
    <t>16%</t>
  </si>
  <si>
    <t>19%</t>
  </si>
  <si>
    <t>41%</t>
  </si>
  <si>
    <t>45%</t>
  </si>
  <si>
    <t>Question 5 PT</t>
  </si>
  <si>
    <t>$85,000</t>
  </si>
  <si>
    <t>$155,000</t>
  </si>
  <si>
    <t>$425,000</t>
  </si>
  <si>
    <t>$625,000</t>
  </si>
  <si>
    <t>$4,255,000</t>
  </si>
  <si>
    <t>Get Started</t>
  </si>
  <si>
    <t>Amortization</t>
  </si>
  <si>
    <t>Four Js Painting</t>
  </si>
  <si>
    <t>Google</t>
  </si>
  <si>
    <t>Spending</t>
  </si>
  <si>
    <t>Event Profit</t>
  </si>
  <si>
    <t>Past Events</t>
  </si>
  <si>
    <t>Bakery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</si>
</sst>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164" formatCode="&quot;$&quot;#,##0.00"/>
    <numFmt numFmtId="165" formatCode="&quot;$&quot;#,##0"/>
    <numFmt numFmtId="166" formatCode="0.000000"/>
  </numFmts>
  <fonts count="16" x14ac:knownFonts="1">
    <font>
      <sz val="11"/>
      <color theme="1"/>
      <name val="Calibri"/>
      <family val="2"/>
      <scheme val="minor"/>
    </font>
    <font>
      <sz val="11"/>
      <color rgb="FFD9D9D9"/>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5"/>
      <color theme="1"/>
      <name val="Calibri"/>
      <family val="2"/>
      <scheme val="minor"/>
    </font>
    <font>
      <i/>
      <sz val="11"/>
      <color theme="1"/>
      <name val="Calibri"/>
      <family val="2"/>
      <scheme val="minor"/>
    </font>
    <font>
      <sz val="10"/>
      <name val="Arial"/>
      <family val="2"/>
    </font>
    <font>
      <sz val="10.5"/>
      <color theme="1"/>
      <name val="Calibri"/>
      <family val="2"/>
      <scheme val="minor"/>
    </font>
    <font>
      <b/>
      <i/>
      <sz val="11"/>
      <color theme="1"/>
      <name val="Calibri"/>
      <family val="2"/>
      <scheme val="minor"/>
    </font>
    <font>
      <sz val="11"/>
      <color rgb="FF000000"/>
      <name val="Calibri"/>
      <family val="2"/>
      <scheme val="minor"/>
    </font>
    <font>
      <sz val="12"/>
      <color theme="1"/>
      <name val="Calibri"/>
      <family val="2"/>
      <scheme val="minor"/>
    </font>
    <font>
      <b/>
      <sz val="11"/>
      <color rgb="FF000000"/>
      <name val="Calibri"/>
      <family val="2"/>
      <scheme val="minor"/>
    </font>
    <font>
      <b/>
      <sz val="10"/>
      <color theme="1"/>
      <name val="Arial"/>
      <family val="2"/>
    </font>
    <font>
      <sz val="10"/>
      <color theme="1"/>
      <name val="Arial"/>
      <family val="2"/>
    </font>
    <font>
      <b/>
      <sz val="10"/>
      <name val="Arial"/>
      <family val="2"/>
    </font>
  </fonts>
  <fills count="9">
    <fill>
      <patternFill patternType="none"/>
    </fill>
    <fill>
      <patternFill patternType="gray125"/>
    </fill>
    <fill>
      <patternFill patternType="solid">
        <fgColor theme="0" tint="-0.14999847407452621"/>
        <bgColor indexed="64"/>
      </patternFill>
    </fill>
    <fill>
      <patternFill patternType="solid">
        <fgColor theme="0" tint="-0.14999847407452621"/>
        <bgColor rgb="FF00B2C8"/>
      </patternFill>
    </fill>
    <fill>
      <patternFill patternType="solid">
        <fgColor theme="3" tint="0.59999389629810485"/>
        <bgColor rgb="FF00B2C8"/>
      </patternFill>
    </fill>
    <fill>
      <patternFill patternType="solid">
        <fgColor theme="2" tint="-9.9978637043366805E-2"/>
        <bgColor rgb="FF00B2C8"/>
      </patternFill>
    </fill>
    <fill>
      <patternFill patternType="solid">
        <fgColor theme="2"/>
        <bgColor rgb="FF00B2C8"/>
      </patternFill>
    </fill>
    <fill>
      <patternFill patternType="solid">
        <fgColor theme="1"/>
        <bgColor rgb="FF00B2C8"/>
      </patternFill>
    </fill>
    <fill>
      <patternFill patternType="solid">
        <fgColor theme="3" tint="0.79998168889431442"/>
        <bgColor rgb="FF00B2C8"/>
      </patternFill>
    </fill>
  </fills>
  <borders count="4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34998626667073579"/>
      </left>
      <right style="medium">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theme="0" tint="-0.34998626667073579"/>
      </left>
      <right style="medium">
        <color indexed="64"/>
      </right>
      <top style="hair">
        <color indexed="64"/>
      </top>
      <bottom style="medium">
        <color indexed="64"/>
      </bottom>
      <diagonal/>
    </border>
    <border>
      <left style="medium">
        <color indexed="64"/>
      </left>
      <right/>
      <top/>
      <bottom style="hair">
        <color indexed="64"/>
      </bottom>
      <diagonal/>
    </border>
    <border>
      <left/>
      <right/>
      <top/>
      <bottom style="hair">
        <color auto="1"/>
      </bottom>
      <diagonal/>
    </border>
    <border>
      <left style="thin">
        <color theme="0" tint="-0.34998626667073579"/>
      </left>
      <right style="medium">
        <color indexed="64"/>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theme="0" tint="-0.34998626667073579"/>
      </left>
      <right style="thin">
        <color theme="0" tint="-0.34998626667073579"/>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bottom style="hair">
        <color auto="1"/>
      </bottom>
      <diagonal/>
    </border>
    <border>
      <left style="thin">
        <color theme="0" tint="-0.34998626667073579"/>
      </left>
      <right style="thin">
        <color theme="0" tint="-0.34998626667073579"/>
      </right>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top/>
      <bottom style="dotted">
        <color auto="1"/>
      </bottom>
      <diagonal/>
    </border>
    <border>
      <left/>
      <right/>
      <top style="dotted">
        <color indexed="64"/>
      </top>
      <bottom style="dotted">
        <color indexed="64"/>
      </bottom>
      <diagonal/>
    </border>
    <border>
      <left style="thin">
        <color theme="0" tint="-0.34998626667073579"/>
      </left>
      <right style="thin">
        <color theme="0" tint="-0.34998626667073579"/>
      </right>
      <top style="dotted">
        <color indexed="64"/>
      </top>
      <bottom style="dotted">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indexed="64"/>
      </bottom>
      <diagonal/>
    </border>
    <border>
      <left/>
      <right/>
      <top/>
      <bottom style="thin">
        <color indexed="64"/>
      </bottom>
      <diagonal/>
    </border>
  </borders>
  <cellStyleXfs count="6">
    <xf numFmtId="0" fontId="0"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7" fillId="0" borderId="0"/>
    <xf numFmtId="44" fontId="7" fillId="0" borderId="0" applyFont="0" applyFill="0" applyBorder="0" applyAlignment="0" applyProtection="0"/>
  </cellStyleXfs>
  <cellXfs count="215">
    <xf numFmtId="0" fontId="0" fillId="0" borderId="0" xfId="0"/>
    <xf numFmtId="0" fontId="0" fillId="2" borderId="0" xfId="0" applyFill="1"/>
    <xf numFmtId="0" fontId="0" fillId="2" borderId="0" xfId="0" quotePrefix="1" applyFill="1"/>
    <xf numFmtId="0" fontId="0" fillId="3" borderId="0" xfId="0" applyFill="1"/>
    <xf numFmtId="0" fontId="1" fillId="3" borderId="0" xfId="0" applyFont="1" applyFill="1"/>
    <xf numFmtId="0" fontId="6" fillId="0" borderId="0" xfId="0" applyFont="1"/>
    <xf numFmtId="0" fontId="0" fillId="0" borderId="0" xfId="3" applyFont="1"/>
    <xf numFmtId="0" fontId="3" fillId="0" borderId="0" xfId="3" applyFont="1"/>
    <xf numFmtId="0" fontId="2" fillId="0" borderId="0" xfId="3"/>
    <xf numFmtId="0" fontId="7" fillId="0" borderId="0" xfId="4"/>
    <xf numFmtId="0" fontId="0" fillId="0" borderId="0" xfId="0" applyAlignment="1">
      <alignment horizontal="center" wrapText="1"/>
    </xf>
    <xf numFmtId="0" fontId="4" fillId="0" borderId="0" xfId="0" applyFont="1"/>
    <xf numFmtId="164" fontId="0" fillId="0" borderId="0" xfId="0" applyNumberFormat="1" applyAlignment="1">
      <alignment horizontal="center"/>
    </xf>
    <xf numFmtId="0" fontId="0" fillId="0" borderId="0" xfId="0" applyAlignment="1">
      <alignment horizontal="center"/>
    </xf>
    <xf numFmtId="0" fontId="4" fillId="0" borderId="13" xfId="0" applyFont="1" applyBorder="1"/>
    <xf numFmtId="0" fontId="4" fillId="0" borderId="0" xfId="0" applyFont="1" applyBorder="1"/>
    <xf numFmtId="164" fontId="0" fillId="6" borderId="21" xfId="0" applyNumberFormat="1" applyFill="1" applyBorder="1" applyAlignment="1">
      <alignment horizontal="center"/>
    </xf>
    <xf numFmtId="10" fontId="0" fillId="0" borderId="0" xfId="0" applyNumberFormat="1" applyAlignment="1">
      <alignment horizontal="center"/>
    </xf>
    <xf numFmtId="0" fontId="0" fillId="0" borderId="0" xfId="0" applyBorder="1"/>
    <xf numFmtId="8" fontId="0" fillId="6" borderId="22" xfId="0" applyNumberFormat="1" applyFill="1" applyBorder="1" applyAlignment="1">
      <alignment horizontal="center"/>
    </xf>
    <xf numFmtId="0" fontId="4" fillId="0" borderId="15" xfId="0" applyFont="1" applyBorder="1"/>
    <xf numFmtId="0" fontId="0" fillId="0" borderId="16" xfId="0" applyBorder="1"/>
    <xf numFmtId="164" fontId="0" fillId="6" borderId="23" xfId="0" applyNumberFormat="1" applyFill="1" applyBorder="1" applyAlignment="1">
      <alignment horizontal="center"/>
    </xf>
    <xf numFmtId="0" fontId="4" fillId="4" borderId="18" xfId="0" applyFont="1" applyFill="1" applyBorder="1" applyAlignment="1">
      <alignment horizontal="center"/>
    </xf>
    <xf numFmtId="0" fontId="4" fillId="4" borderId="19" xfId="0" applyFont="1" applyFill="1" applyBorder="1" applyAlignment="1">
      <alignment horizontal="center"/>
    </xf>
    <xf numFmtId="0" fontId="4" fillId="4" borderId="20" xfId="0" applyFont="1" applyFill="1" applyBorder="1" applyAlignment="1">
      <alignment horizontal="center"/>
    </xf>
    <xf numFmtId="0" fontId="0" fillId="0" borderId="24" xfId="0" applyBorder="1" applyAlignment="1">
      <alignment horizontal="center"/>
    </xf>
    <xf numFmtId="0" fontId="0" fillId="7" borderId="25" xfId="0" applyFill="1" applyBorder="1" applyAlignment="1">
      <alignment horizontal="center"/>
    </xf>
    <xf numFmtId="164" fontId="0" fillId="6" borderId="26" xfId="0" applyNumberFormat="1" applyFill="1" applyBorder="1" applyAlignment="1">
      <alignment horizontal="center"/>
    </xf>
    <xf numFmtId="0" fontId="0" fillId="0" borderId="27" xfId="0" applyBorder="1" applyAlignment="1">
      <alignment horizontal="center"/>
    </xf>
    <xf numFmtId="164" fontId="0" fillId="0" borderId="28" xfId="0" applyNumberFormat="1" applyBorder="1" applyAlignment="1">
      <alignment horizontal="center"/>
    </xf>
    <xf numFmtId="164" fontId="0" fillId="6" borderId="29" xfId="0" applyNumberFormat="1" applyFill="1" applyBorder="1" applyAlignment="1">
      <alignment horizontal="center"/>
    </xf>
    <xf numFmtId="0" fontId="0" fillId="0" borderId="30" xfId="0" applyBorder="1" applyAlignment="1">
      <alignment horizontal="center"/>
    </xf>
    <xf numFmtId="164" fontId="0" fillId="0" borderId="31" xfId="0" applyNumberFormat="1" applyBorder="1" applyAlignment="1">
      <alignment horizontal="center"/>
    </xf>
    <xf numFmtId="8" fontId="0" fillId="0" borderId="0" xfId="0" applyNumberFormat="1"/>
    <xf numFmtId="0" fontId="0" fillId="0" borderId="0" xfId="0" applyBorder="1" applyAlignment="1">
      <alignment wrapText="1"/>
    </xf>
    <xf numFmtId="0" fontId="0" fillId="0" borderId="0" xfId="0" applyBorder="1" applyAlignment="1">
      <alignment horizontal="center"/>
    </xf>
    <xf numFmtId="0" fontId="0" fillId="0" borderId="14" xfId="0" applyBorder="1" applyAlignment="1">
      <alignment horizontal="center"/>
    </xf>
    <xf numFmtId="0" fontId="0" fillId="0" borderId="13" xfId="0" applyBorder="1" applyAlignment="1">
      <alignment horizontal="left"/>
    </xf>
    <xf numFmtId="9" fontId="0" fillId="0" borderId="14" xfId="0" applyNumberFormat="1" applyBorder="1" applyAlignment="1">
      <alignment horizontal="center"/>
    </xf>
    <xf numFmtId="165" fontId="0" fillId="0" borderId="16" xfId="0" applyNumberFormat="1" applyBorder="1" applyAlignment="1">
      <alignment horizontal="center"/>
    </xf>
    <xf numFmtId="165" fontId="0" fillId="0" borderId="17" xfId="0" applyNumberFormat="1" applyBorder="1" applyAlignment="1">
      <alignment horizontal="center"/>
    </xf>
    <xf numFmtId="0" fontId="0" fillId="0" borderId="15" xfId="0" applyBorder="1" applyAlignment="1">
      <alignment horizontal="left"/>
    </xf>
    <xf numFmtId="9" fontId="0" fillId="0" borderId="17" xfId="0" applyNumberFormat="1" applyBorder="1" applyAlignment="1">
      <alignment horizontal="center"/>
    </xf>
    <xf numFmtId="0" fontId="4" fillId="0" borderId="24" xfId="0" applyFont="1" applyBorder="1" applyAlignment="1">
      <alignment horizontal="center"/>
    </xf>
    <xf numFmtId="0" fontId="4" fillId="0" borderId="25" xfId="0" applyFont="1" applyBorder="1" applyAlignment="1">
      <alignment horizontal="center"/>
    </xf>
    <xf numFmtId="0" fontId="4" fillId="0" borderId="32" xfId="0" applyFont="1" applyBorder="1" applyAlignment="1">
      <alignment horizontal="center"/>
    </xf>
    <xf numFmtId="0" fontId="4" fillId="0" borderId="0" xfId="0" applyFont="1" applyAlignment="1">
      <alignment horizontal="center"/>
    </xf>
    <xf numFmtId="0" fontId="0" fillId="0" borderId="25" xfId="0" applyBorder="1" applyAlignment="1">
      <alignment horizontal="center"/>
    </xf>
    <xf numFmtId="165" fontId="0" fillId="6" borderId="33" xfId="0" applyNumberFormat="1" applyFill="1" applyBorder="1" applyAlignment="1">
      <alignment horizontal="center"/>
    </xf>
    <xf numFmtId="165" fontId="0" fillId="0" borderId="25" xfId="0" applyNumberFormat="1" applyBorder="1" applyAlignment="1">
      <alignment horizontal="center"/>
    </xf>
    <xf numFmtId="165" fontId="0" fillId="6" borderId="26" xfId="0" applyNumberFormat="1" applyFill="1" applyBorder="1" applyAlignment="1">
      <alignment horizontal="center"/>
    </xf>
    <xf numFmtId="0" fontId="0" fillId="0" borderId="28" xfId="0" applyBorder="1" applyAlignment="1">
      <alignment horizontal="center"/>
    </xf>
    <xf numFmtId="165" fontId="0" fillId="6" borderId="29" xfId="0" applyNumberFormat="1" applyFill="1" applyBorder="1" applyAlignment="1">
      <alignment horizontal="center"/>
    </xf>
    <xf numFmtId="165" fontId="0" fillId="0" borderId="28" xfId="0" applyNumberFormat="1" applyBorder="1" applyAlignment="1">
      <alignment horizontal="center"/>
    </xf>
    <xf numFmtId="0" fontId="0" fillId="0" borderId="31" xfId="0" applyBorder="1" applyAlignment="1">
      <alignment horizontal="center"/>
    </xf>
    <xf numFmtId="165" fontId="0" fillId="0" borderId="31" xfId="0" applyNumberFormat="1" applyBorder="1" applyAlignment="1">
      <alignment horizontal="center"/>
    </xf>
    <xf numFmtId="165" fontId="0" fillId="0" borderId="0" xfId="0" applyNumberFormat="1" applyBorder="1"/>
    <xf numFmtId="0" fontId="0" fillId="0" borderId="27" xfId="0" applyBorder="1"/>
    <xf numFmtId="0" fontId="0" fillId="6" borderId="29" xfId="0" applyFill="1" applyBorder="1" applyAlignment="1">
      <alignment horizontal="center"/>
    </xf>
    <xf numFmtId="0" fontId="0" fillId="6" borderId="29" xfId="0" applyNumberFormat="1" applyFill="1" applyBorder="1" applyAlignment="1">
      <alignment horizontal="center"/>
    </xf>
    <xf numFmtId="0" fontId="0" fillId="0" borderId="28" xfId="0" applyNumberFormat="1" applyBorder="1" applyAlignment="1">
      <alignment horizontal="center"/>
    </xf>
    <xf numFmtId="165" fontId="0" fillId="0" borderId="34" xfId="0" applyNumberFormat="1" applyBorder="1" applyAlignment="1">
      <alignment horizontal="center"/>
    </xf>
    <xf numFmtId="0" fontId="0" fillId="0" borderId="30" xfId="0" applyBorder="1"/>
    <xf numFmtId="0" fontId="0" fillId="0" borderId="31" xfId="0" applyNumberFormat="1" applyBorder="1" applyAlignment="1">
      <alignment horizontal="center"/>
    </xf>
    <xf numFmtId="165" fontId="0" fillId="0" borderId="35" xfId="0" applyNumberFormat="1" applyBorder="1" applyAlignment="1">
      <alignment horizontal="center"/>
    </xf>
    <xf numFmtId="1" fontId="0" fillId="6" borderId="21" xfId="0" applyNumberFormat="1" applyFill="1" applyBorder="1" applyAlignment="1">
      <alignment horizontal="center"/>
    </xf>
    <xf numFmtId="0" fontId="2" fillId="0" borderId="0" xfId="0" applyFont="1"/>
    <xf numFmtId="3" fontId="2" fillId="0" borderId="0" xfId="0" applyNumberFormat="1" applyFont="1"/>
    <xf numFmtId="0" fontId="9" fillId="0" borderId="0" xfId="0" applyFont="1"/>
    <xf numFmtId="9" fontId="2" fillId="0" borderId="0" xfId="0" applyNumberFormat="1" applyFont="1"/>
    <xf numFmtId="0" fontId="4" fillId="4" borderId="18" xfId="0" applyFont="1" applyFill="1" applyBorder="1"/>
    <xf numFmtId="0" fontId="4" fillId="4" borderId="19" xfId="0" applyFont="1" applyFill="1" applyBorder="1"/>
    <xf numFmtId="0" fontId="4" fillId="4" borderId="20" xfId="0" applyFont="1" applyFill="1" applyBorder="1"/>
    <xf numFmtId="0" fontId="2" fillId="0" borderId="13" xfId="0" applyFont="1" applyBorder="1"/>
    <xf numFmtId="165" fontId="2" fillId="6" borderId="36" xfId="0" applyNumberFormat="1" applyFont="1" applyFill="1" applyBorder="1"/>
    <xf numFmtId="165" fontId="2" fillId="6" borderId="37" xfId="0" applyNumberFormat="1" applyFont="1" applyFill="1" applyBorder="1"/>
    <xf numFmtId="165" fontId="2" fillId="6" borderId="38" xfId="0" applyNumberFormat="1" applyFont="1" applyFill="1" applyBorder="1"/>
    <xf numFmtId="165" fontId="2" fillId="6" borderId="39" xfId="0" applyNumberFormat="1" applyFont="1" applyFill="1" applyBorder="1"/>
    <xf numFmtId="165" fontId="2" fillId="6" borderId="40" xfId="0" applyNumberFormat="1" applyFont="1" applyFill="1" applyBorder="1"/>
    <xf numFmtId="165" fontId="2" fillId="6" borderId="41" xfId="0" applyNumberFormat="1" applyFont="1" applyFill="1" applyBorder="1"/>
    <xf numFmtId="165" fontId="2" fillId="0" borderId="0" xfId="0" applyNumberFormat="1" applyFont="1"/>
    <xf numFmtId="1" fontId="4" fillId="4" borderId="19" xfId="0" applyNumberFormat="1" applyFont="1" applyFill="1" applyBorder="1"/>
    <xf numFmtId="0" fontId="4" fillId="4" borderId="20" xfId="0" applyNumberFormat="1" applyFont="1" applyFill="1" applyBorder="1"/>
    <xf numFmtId="165" fontId="2" fillId="0" borderId="0" xfId="0" applyNumberFormat="1" applyFont="1" applyBorder="1"/>
    <xf numFmtId="0" fontId="4" fillId="0" borderId="0" xfId="0" applyFont="1" applyAlignment="1"/>
    <xf numFmtId="0" fontId="0" fillId="6" borderId="38" xfId="0" applyFill="1" applyBorder="1" applyAlignment="1">
      <alignment horizontal="center"/>
    </xf>
    <xf numFmtId="0" fontId="4" fillId="0" borderId="42" xfId="0" applyFont="1" applyBorder="1" applyAlignment="1">
      <alignment horizontal="center"/>
    </xf>
    <xf numFmtId="0" fontId="4" fillId="0" borderId="42" xfId="0" applyFont="1" applyFill="1" applyBorder="1" applyAlignment="1">
      <alignment horizontal="center"/>
    </xf>
    <xf numFmtId="166" fontId="0" fillId="0" borderId="43" xfId="0" applyNumberFormat="1" applyBorder="1" applyAlignment="1">
      <alignment horizontal="center"/>
    </xf>
    <xf numFmtId="0" fontId="0" fillId="0" borderId="43" xfId="0" applyBorder="1" applyAlignment="1">
      <alignment horizontal="center"/>
    </xf>
    <xf numFmtId="164" fontId="0" fillId="0" borderId="43" xfId="1" applyNumberFormat="1" applyFont="1" applyBorder="1" applyAlignment="1">
      <alignment horizontal="center"/>
    </xf>
    <xf numFmtId="0" fontId="0" fillId="6" borderId="44" xfId="0" applyFill="1" applyBorder="1" applyAlignment="1">
      <alignment horizontal="center"/>
    </xf>
    <xf numFmtId="1" fontId="0" fillId="0" borderId="0" xfId="0" applyNumberFormat="1"/>
    <xf numFmtId="0" fontId="4" fillId="0" borderId="0" xfId="0" applyFont="1" applyBorder="1" applyAlignment="1">
      <alignment horizontal="center"/>
    </xf>
    <xf numFmtId="0" fontId="0" fillId="0" borderId="14" xfId="0" applyBorder="1"/>
    <xf numFmtId="0" fontId="0" fillId="0" borderId="13" xfId="0" applyBorder="1"/>
    <xf numFmtId="9" fontId="0" fillId="0" borderId="0" xfId="2" applyFont="1" applyBorder="1" applyAlignment="1">
      <alignment horizontal="center"/>
    </xf>
    <xf numFmtId="0" fontId="4" fillId="0" borderId="13" xfId="0" applyFont="1" applyBorder="1" applyAlignment="1">
      <alignment horizontal="center"/>
    </xf>
    <xf numFmtId="8" fontId="0" fillId="0" borderId="0" xfId="0" applyNumberFormat="1" applyBorder="1" applyAlignment="1">
      <alignment horizontal="center"/>
    </xf>
    <xf numFmtId="2" fontId="0" fillId="6" borderId="45" xfId="1" applyNumberFormat="1" applyFont="1" applyFill="1" applyBorder="1" applyAlignment="1">
      <alignment horizontal="center"/>
    </xf>
    <xf numFmtId="164" fontId="0" fillId="6" borderId="45" xfId="1" applyNumberFormat="1" applyFont="1" applyFill="1" applyBorder="1" applyAlignment="1">
      <alignment horizontal="center"/>
    </xf>
    <xf numFmtId="10" fontId="0" fillId="0" borderId="0" xfId="2" applyNumberFormat="1" applyFont="1" applyBorder="1" applyAlignment="1">
      <alignment horizontal="center"/>
    </xf>
    <xf numFmtId="164" fontId="0" fillId="0" borderId="0" xfId="0" applyNumberFormat="1" applyBorder="1" applyAlignment="1">
      <alignment horizontal="center"/>
    </xf>
    <xf numFmtId="0" fontId="0" fillId="7" borderId="0" xfId="0" applyFill="1" applyBorder="1"/>
    <xf numFmtId="0" fontId="0" fillId="0" borderId="15" xfId="0" applyBorder="1"/>
    <xf numFmtId="164" fontId="0" fillId="0" borderId="16" xfId="0" applyNumberFormat="1" applyBorder="1" applyAlignment="1">
      <alignment horizontal="center"/>
    </xf>
    <xf numFmtId="0" fontId="0" fillId="0" borderId="17" xfId="0" applyBorder="1"/>
    <xf numFmtId="0" fontId="4" fillId="0" borderId="14" xfId="0" applyFont="1" applyBorder="1" applyAlignment="1">
      <alignment horizontal="center"/>
    </xf>
    <xf numFmtId="164" fontId="0" fillId="6" borderId="46" xfId="1" applyNumberFormat="1" applyFont="1" applyFill="1" applyBorder="1" applyAlignment="1">
      <alignment horizontal="center"/>
    </xf>
    <xf numFmtId="165" fontId="0" fillId="0" borderId="16" xfId="0" applyNumberFormat="1" applyBorder="1"/>
    <xf numFmtId="0" fontId="0" fillId="0" borderId="0" xfId="0" applyNumberFormat="1" applyBorder="1" applyAlignment="1">
      <alignment horizontal="center"/>
    </xf>
    <xf numFmtId="0" fontId="4" fillId="0" borderId="0" xfId="0" applyFont="1" applyBorder="1" applyAlignment="1"/>
    <xf numFmtId="0" fontId="4" fillId="0" borderId="14" xfId="0" applyFont="1" applyBorder="1" applyAlignment="1"/>
    <xf numFmtId="0" fontId="0" fillId="6" borderId="45" xfId="0" applyFont="1" applyFill="1" applyBorder="1" applyAlignment="1">
      <alignment horizontal="center" wrapText="1"/>
    </xf>
    <xf numFmtId="0" fontId="9" fillId="0" borderId="14" xfId="0" applyFont="1" applyBorder="1" applyAlignment="1">
      <alignment wrapText="1"/>
    </xf>
    <xf numFmtId="0" fontId="9" fillId="0" borderId="0" xfId="0" applyFont="1" applyBorder="1" applyAlignment="1">
      <alignment wrapText="1"/>
    </xf>
    <xf numFmtId="165" fontId="0" fillId="6" borderId="45" xfId="1" applyNumberFormat="1" applyFont="1" applyFill="1" applyBorder="1" applyAlignment="1">
      <alignment horizontal="center"/>
    </xf>
    <xf numFmtId="0" fontId="0" fillId="0" borderId="13" xfId="0" applyFont="1" applyBorder="1"/>
    <xf numFmtId="0" fontId="0" fillId="0" borderId="0" xfId="0" applyFont="1" applyBorder="1"/>
    <xf numFmtId="0" fontId="6" fillId="0" borderId="14" xfId="0" applyFont="1" applyBorder="1" applyAlignment="1">
      <alignment wrapText="1"/>
    </xf>
    <xf numFmtId="0" fontId="6" fillId="0" borderId="16" xfId="0" applyFont="1" applyBorder="1" applyAlignment="1">
      <alignment wrapText="1"/>
    </xf>
    <xf numFmtId="0" fontId="0" fillId="0" borderId="17" xfId="0" applyBorder="1" applyAlignment="1">
      <alignment wrapText="1"/>
    </xf>
    <xf numFmtId="0" fontId="4" fillId="8" borderId="47" xfId="0" applyFont="1" applyFill="1" applyBorder="1" applyAlignment="1">
      <alignment horizontal="center"/>
    </xf>
    <xf numFmtId="1" fontId="0" fillId="0" borderId="0" xfId="0" applyNumberFormat="1" applyAlignment="1">
      <alignment horizontal="center"/>
    </xf>
    <xf numFmtId="165" fontId="0" fillId="0" borderId="0" xfId="0" applyNumberFormat="1" applyAlignment="1">
      <alignment horizontal="center"/>
    </xf>
    <xf numFmtId="164" fontId="0" fillId="0" borderId="0" xfId="0" applyNumberFormat="1"/>
    <xf numFmtId="0" fontId="10" fillId="0" borderId="13" xfId="0" applyFont="1" applyBorder="1"/>
    <xf numFmtId="44" fontId="0" fillId="0" borderId="0" xfId="0" applyNumberFormat="1"/>
    <xf numFmtId="0" fontId="12" fillId="0" borderId="0" xfId="0" applyFont="1" applyAlignment="1">
      <alignment horizontal="left" vertical="center"/>
    </xf>
    <xf numFmtId="0" fontId="10" fillId="0" borderId="0" xfId="0" applyFont="1"/>
    <xf numFmtId="0" fontId="13" fillId="0" borderId="0" xfId="4" applyFont="1" applyBorder="1"/>
    <xf numFmtId="0" fontId="13" fillId="0" borderId="0" xfId="4" applyFont="1" applyBorder="1" applyAlignment="1">
      <alignment horizontal="center"/>
    </xf>
    <xf numFmtId="0" fontId="14" fillId="0" borderId="0" xfId="4" applyFont="1" applyBorder="1"/>
    <xf numFmtId="0" fontId="7" fillId="0" borderId="0" xfId="4" applyFont="1" applyBorder="1" applyAlignment="1">
      <alignment horizontal="center"/>
    </xf>
    <xf numFmtId="0" fontId="14" fillId="0" borderId="0" xfId="4" applyFont="1" applyFill="1" applyBorder="1"/>
    <xf numFmtId="0" fontId="7" fillId="0" borderId="0" xfId="4" applyFont="1" applyFill="1" applyBorder="1"/>
    <xf numFmtId="164" fontId="7" fillId="0" borderId="0" xfId="5" applyNumberFormat="1" applyFont="1" applyFill="1" applyBorder="1"/>
    <xf numFmtId="0" fontId="13" fillId="0" borderId="0" xfId="4" applyFont="1" applyFill="1" applyBorder="1"/>
    <xf numFmtId="0" fontId="7" fillId="0" borderId="0" xfId="4" applyFont="1"/>
    <xf numFmtId="0" fontId="7" fillId="0" borderId="0" xfId="4" applyFont="1" applyFill="1"/>
    <xf numFmtId="0" fontId="14" fillId="0" borderId="0" xfId="4" applyFont="1" applyFill="1" applyBorder="1" applyAlignment="1">
      <alignment horizontal="left" indent="1"/>
    </xf>
    <xf numFmtId="0" fontId="7" fillId="0" borderId="0" xfId="4" applyFont="1" applyFill="1" applyBorder="1" applyAlignment="1">
      <alignment horizontal="center"/>
    </xf>
    <xf numFmtId="0" fontId="15" fillId="0" borderId="0" xfId="4" applyFont="1" applyFill="1" applyBorder="1" applyAlignment="1">
      <alignment horizontal="center"/>
    </xf>
    <xf numFmtId="165" fontId="0" fillId="0" borderId="0" xfId="0" quotePrefix="1" applyNumberFormat="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6" fillId="5" borderId="4" xfId="0" applyFont="1" applyFill="1" applyBorder="1" applyAlignment="1">
      <alignment horizontal="center" wrapText="1"/>
    </xf>
    <xf numFmtId="0" fontId="6" fillId="5" borderId="5" xfId="0" applyFont="1" applyFill="1" applyBorder="1" applyAlignment="1">
      <alignment horizontal="center" wrapText="1"/>
    </xf>
    <xf numFmtId="0" fontId="6" fillId="5" borderId="6" xfId="0" applyFont="1" applyFill="1" applyBorder="1" applyAlignment="1">
      <alignment horizontal="center" wrapText="1"/>
    </xf>
    <xf numFmtId="0" fontId="6" fillId="5" borderId="7" xfId="0" applyFont="1" applyFill="1" applyBorder="1" applyAlignment="1">
      <alignment horizontal="center" wrapText="1"/>
    </xf>
    <xf numFmtId="0" fontId="6" fillId="5" borderId="8" xfId="0" applyFont="1" applyFill="1" applyBorder="1" applyAlignment="1">
      <alignment horizontal="center" wrapText="1"/>
    </xf>
    <xf numFmtId="0" fontId="6" fillId="5" borderId="9" xfId="0" applyFont="1" applyFill="1" applyBorder="1" applyAlignment="1">
      <alignment horizontal="center" wrapText="1"/>
    </xf>
    <xf numFmtId="0" fontId="0" fillId="0" borderId="10" xfId="0" applyBorder="1" applyAlignment="1">
      <alignment horizontal="left" wrapText="1"/>
    </xf>
    <xf numFmtId="0" fontId="0" fillId="0" borderId="11" xfId="0" applyBorder="1" applyAlignment="1">
      <alignment horizontal="left" wrapText="1"/>
    </xf>
    <xf numFmtId="0" fontId="0" fillId="0" borderId="12" xfId="0" applyBorder="1" applyAlignment="1">
      <alignment horizontal="left" wrapText="1"/>
    </xf>
    <xf numFmtId="0" fontId="0" fillId="0" borderId="13" xfId="0" applyBorder="1" applyAlignment="1">
      <alignment horizontal="left" wrapText="1"/>
    </xf>
    <xf numFmtId="0" fontId="0" fillId="0" borderId="0" xfId="0" applyBorder="1" applyAlignment="1">
      <alignment horizontal="left" wrapText="1"/>
    </xf>
    <xf numFmtId="0" fontId="0" fillId="0" borderId="14"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0" fillId="0" borderId="17" xfId="0" applyBorder="1" applyAlignment="1">
      <alignment horizontal="left" wrapText="1"/>
    </xf>
    <xf numFmtId="0" fontId="4" fillId="4" borderId="18" xfId="0" applyFont="1" applyFill="1" applyBorder="1" applyAlignment="1">
      <alignment horizontal="center"/>
    </xf>
    <xf numFmtId="0" fontId="4" fillId="4" borderId="19" xfId="0" applyFont="1" applyFill="1" applyBorder="1" applyAlignment="1">
      <alignment horizontal="center"/>
    </xf>
    <xf numFmtId="0" fontId="4" fillId="4" borderId="20" xfId="0" applyFont="1" applyFill="1" applyBorder="1" applyAlignment="1">
      <alignment horizontal="center"/>
    </xf>
    <xf numFmtId="0" fontId="8" fillId="0" borderId="10" xfId="0" applyFont="1" applyBorder="1" applyAlignment="1">
      <alignment horizontal="left" wrapText="1"/>
    </xf>
    <xf numFmtId="0" fontId="8" fillId="0" borderId="11" xfId="0" applyFont="1" applyBorder="1" applyAlignment="1">
      <alignment horizontal="left" wrapText="1"/>
    </xf>
    <xf numFmtId="0" fontId="8" fillId="0" borderId="12" xfId="0" applyFont="1" applyBorder="1" applyAlignment="1">
      <alignment horizontal="left" wrapText="1"/>
    </xf>
    <xf numFmtId="0" fontId="8" fillId="0" borderId="13" xfId="0" applyFont="1" applyBorder="1" applyAlignment="1">
      <alignment horizontal="left" wrapText="1"/>
    </xf>
    <xf numFmtId="0" fontId="8" fillId="0" borderId="0" xfId="0" applyFont="1" applyBorder="1" applyAlignment="1">
      <alignment horizontal="left" wrapText="1"/>
    </xf>
    <xf numFmtId="0" fontId="8" fillId="0" borderId="14" xfId="0" applyFont="1" applyBorder="1" applyAlignment="1">
      <alignment horizontal="left" wrapText="1"/>
    </xf>
    <xf numFmtId="0" fontId="8" fillId="0" borderId="15" xfId="0" applyFont="1" applyBorder="1" applyAlignment="1">
      <alignment horizontal="left" wrapText="1"/>
    </xf>
    <xf numFmtId="0" fontId="8" fillId="0" borderId="16" xfId="0" applyFont="1" applyBorder="1" applyAlignment="1">
      <alignment horizontal="left" wrapText="1"/>
    </xf>
    <xf numFmtId="0" fontId="8" fillId="0" borderId="17" xfId="0" applyFont="1" applyBorder="1" applyAlignment="1">
      <alignment horizontal="left" wrapText="1"/>
    </xf>
    <xf numFmtId="0" fontId="2" fillId="0" borderId="10"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 fillId="0" borderId="0" xfId="0" applyFont="1" applyBorder="1" applyAlignment="1">
      <alignment horizontal="left" wrapText="1"/>
    </xf>
    <xf numFmtId="0" fontId="2" fillId="0" borderId="14" xfId="0" applyFont="1" applyBorder="1" applyAlignment="1">
      <alignment horizontal="left" wrapText="1"/>
    </xf>
    <xf numFmtId="0" fontId="2" fillId="0" borderId="15" xfId="0" applyFont="1" applyBorder="1" applyAlignment="1">
      <alignment horizontal="left" wrapText="1"/>
    </xf>
    <xf numFmtId="0" fontId="2" fillId="0" borderId="16" xfId="0" applyFont="1" applyBorder="1" applyAlignment="1">
      <alignment horizontal="left" wrapText="1"/>
    </xf>
    <xf numFmtId="0" fontId="2" fillId="0" borderId="17" xfId="0" applyFont="1" applyBorder="1" applyAlignment="1">
      <alignment horizontal="left" wrapText="1"/>
    </xf>
    <xf numFmtId="0" fontId="0" fillId="0" borderId="10" xfId="0" applyFont="1" applyBorder="1" applyAlignment="1">
      <alignment horizontal="left" wrapText="1"/>
    </xf>
    <xf numFmtId="0" fontId="0" fillId="0" borderId="11" xfId="0" applyFont="1" applyBorder="1" applyAlignment="1">
      <alignment horizontal="left" wrapText="1"/>
    </xf>
    <xf numFmtId="0" fontId="0" fillId="0" borderId="12" xfId="0" applyFont="1" applyBorder="1" applyAlignment="1">
      <alignment horizontal="left" wrapText="1"/>
    </xf>
    <xf numFmtId="0" fontId="0" fillId="0" borderId="13" xfId="0" applyFont="1" applyBorder="1" applyAlignment="1">
      <alignment horizontal="left" wrapText="1"/>
    </xf>
    <xf numFmtId="0" fontId="0" fillId="0" borderId="0" xfId="0" applyFont="1" applyBorder="1" applyAlignment="1">
      <alignment horizontal="left" wrapText="1"/>
    </xf>
    <xf numFmtId="0" fontId="0" fillId="0" borderId="14" xfId="0" applyFont="1" applyBorder="1" applyAlignment="1">
      <alignment horizontal="left" wrapText="1"/>
    </xf>
    <xf numFmtId="0" fontId="0" fillId="0" borderId="15" xfId="0" applyFont="1" applyBorder="1" applyAlignment="1">
      <alignment horizontal="left" wrapText="1"/>
    </xf>
    <xf numFmtId="0" fontId="0" fillId="0" borderId="16" xfId="0" applyFont="1" applyBorder="1" applyAlignment="1">
      <alignment horizontal="left" wrapText="1"/>
    </xf>
    <xf numFmtId="0" fontId="0" fillId="0" borderId="17" xfId="0" applyFont="1" applyBorder="1" applyAlignment="1">
      <alignment horizontal="left" wrapText="1"/>
    </xf>
    <xf numFmtId="0" fontId="4" fillId="0" borderId="13" xfId="0" applyFont="1" applyBorder="1" applyAlignment="1">
      <alignment horizontal="center"/>
    </xf>
    <xf numFmtId="0" fontId="4" fillId="0" borderId="0" xfId="0" applyFont="1" applyBorder="1" applyAlignment="1">
      <alignment horizontal="center"/>
    </xf>
    <xf numFmtId="0" fontId="4" fillId="0" borderId="14" xfId="0" applyFont="1" applyBorder="1" applyAlignment="1">
      <alignment horizontal="center"/>
    </xf>
    <xf numFmtId="0" fontId="4" fillId="0" borderId="13" xfId="0" applyFont="1" applyBorder="1" applyAlignment="1">
      <alignment horizontal="center" wrapText="1"/>
    </xf>
    <xf numFmtId="0" fontId="4" fillId="0" borderId="0" xfId="0" applyFont="1" applyBorder="1" applyAlignment="1">
      <alignment horizontal="center" wrapText="1"/>
    </xf>
    <xf numFmtId="0" fontId="4" fillId="0" borderId="14" xfId="0" applyFont="1" applyBorder="1" applyAlignment="1">
      <alignment horizontal="center" wrapText="1"/>
    </xf>
    <xf numFmtId="0" fontId="4" fillId="0" borderId="13" xfId="0" applyFont="1" applyBorder="1" applyAlignment="1">
      <alignment horizontal="right" vertical="center" textRotation="90"/>
    </xf>
    <xf numFmtId="0" fontId="4" fillId="0" borderId="15" xfId="0" applyFont="1" applyBorder="1" applyAlignment="1">
      <alignment horizontal="right" vertical="center" textRotation="90"/>
    </xf>
    <xf numFmtId="0" fontId="4" fillId="0" borderId="0" xfId="0" applyFont="1" applyAlignment="1">
      <alignment horizontal="center"/>
    </xf>
    <xf numFmtId="0" fontId="10" fillId="0" borderId="13" xfId="0" applyFont="1" applyBorder="1" applyAlignment="1">
      <alignment horizontal="left" wrapText="1"/>
    </xf>
    <xf numFmtId="0" fontId="10" fillId="0" borderId="0" xfId="0" applyFont="1" applyBorder="1" applyAlignment="1">
      <alignment horizontal="left" wrapText="1"/>
    </xf>
    <xf numFmtId="0" fontId="10" fillId="0" borderId="15" xfId="0" applyFont="1" applyBorder="1" applyAlignment="1">
      <alignment horizontal="left" wrapText="1"/>
    </xf>
    <xf numFmtId="0" fontId="10" fillId="0" borderId="16" xfId="0" applyFont="1" applyBorder="1" applyAlignment="1">
      <alignment horizontal="left" wrapText="1"/>
    </xf>
    <xf numFmtId="0" fontId="11" fillId="0" borderId="10" xfId="0" applyFont="1" applyBorder="1" applyAlignment="1">
      <alignment horizontal="left" vertical="center" wrapText="1"/>
    </xf>
    <xf numFmtId="0" fontId="11" fillId="0" borderId="11" xfId="0" applyFont="1" applyBorder="1" applyAlignment="1">
      <alignment horizontal="left" vertical="center" wrapText="1"/>
    </xf>
    <xf numFmtId="0" fontId="11" fillId="0" borderId="12" xfId="0" applyFont="1" applyBorder="1" applyAlignment="1">
      <alignment horizontal="left" vertical="center" wrapText="1"/>
    </xf>
    <xf numFmtId="0" fontId="11" fillId="0" borderId="13" xfId="0" applyFont="1" applyBorder="1" applyAlignment="1">
      <alignment horizontal="left" vertical="center" wrapText="1"/>
    </xf>
    <xf numFmtId="0" fontId="11" fillId="0" borderId="0"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16" xfId="0" applyFont="1" applyBorder="1" applyAlignment="1">
      <alignment horizontal="left" vertical="center" wrapText="1"/>
    </xf>
    <xf numFmtId="0" fontId="11" fillId="0" borderId="17" xfId="0" applyFont="1" applyBorder="1" applyAlignment="1">
      <alignment horizontal="left" vertical="center" wrapText="1"/>
    </xf>
  </cellXfs>
  <cellStyles count="6">
    <cellStyle name="Currency" xfId="1" builtinId="4"/>
    <cellStyle name="Currency 2" xfId="5" xr:uid="{00000000-0005-0000-0000-000001000000}"/>
    <cellStyle name="Normal" xfId="0" builtinId="0"/>
    <cellStyle name="Normal 2" xfId="4" xr:uid="{00000000-0005-0000-0000-000003000000}"/>
    <cellStyle name="Normal 3 2" xfId="3" xr:uid="{00000000-0005-0000-0000-00000400000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Total Google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val>
            <c:numRef>
              <c:f>Google!$C$12:$J$12</c:f>
              <c:numCache>
                <c:formatCode>"$"#,##0</c:formatCode>
                <c:ptCount val="8"/>
                <c:pt idx="0">
                  <c:v>1466</c:v>
                </c:pt>
                <c:pt idx="1">
                  <c:v>3190</c:v>
                </c:pt>
                <c:pt idx="2">
                  <c:v>6138</c:v>
                </c:pt>
                <c:pt idx="3">
                  <c:v>10605</c:v>
                </c:pt>
                <c:pt idx="4">
                  <c:v>16595</c:v>
                </c:pt>
                <c:pt idx="5">
                  <c:v>21796</c:v>
                </c:pt>
                <c:pt idx="6">
                  <c:v>23651</c:v>
                </c:pt>
                <c:pt idx="7">
                  <c:v>29321</c:v>
                </c:pt>
              </c:numCache>
            </c:numRef>
          </c:val>
          <c:extLst>
            <c:ext xmlns:c16="http://schemas.microsoft.com/office/drawing/2014/chart" uri="{C3380CC4-5D6E-409C-BE32-E72D297353CC}">
              <c16:uniqueId val="{00000000-271F-4FB0-9698-35B40707D77E}"/>
            </c:ext>
          </c:extLst>
        </c:ser>
        <c:dLbls>
          <c:showLegendKey val="0"/>
          <c:showVal val="0"/>
          <c:showCatName val="0"/>
          <c:showSerName val="0"/>
          <c:showPercent val="0"/>
          <c:showBubbleSize val="0"/>
        </c:dLbls>
        <c:gapWidth val="219"/>
        <c:overlap val="-27"/>
        <c:axId val="215064832"/>
        <c:axId val="215061880"/>
      </c:barChart>
      <c:catAx>
        <c:axId val="215064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061880"/>
        <c:crosses val="autoZero"/>
        <c:auto val="1"/>
        <c:lblAlgn val="ctr"/>
        <c:lblOffset val="100"/>
        <c:noMultiLvlLbl val="0"/>
      </c:catAx>
      <c:valAx>
        <c:axId val="2150618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064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Google Revenue by Quarter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val>
            <c:numRef>
              <c:f>Google!$C$8:$J$8</c:f>
              <c:numCache>
                <c:formatCode>"$"#,##0</c:formatCode>
                <c:ptCount val="8"/>
                <c:pt idx="0">
                  <c:v>249</c:v>
                </c:pt>
                <c:pt idx="1">
                  <c:v>652</c:v>
                </c:pt>
                <c:pt idx="2">
                  <c:v>1257</c:v>
                </c:pt>
                <c:pt idx="3">
                  <c:v>2254</c:v>
                </c:pt>
                <c:pt idx="4">
                  <c:v>3664</c:v>
                </c:pt>
                <c:pt idx="5">
                  <c:v>5186</c:v>
                </c:pt>
                <c:pt idx="6">
                  <c:v>5509</c:v>
                </c:pt>
                <c:pt idx="7">
                  <c:v>6775</c:v>
                </c:pt>
              </c:numCache>
            </c:numRef>
          </c:val>
          <c:extLst>
            <c:ext xmlns:c16="http://schemas.microsoft.com/office/drawing/2014/chart" uri="{C3380CC4-5D6E-409C-BE32-E72D297353CC}">
              <c16:uniqueId val="{00000000-AFEF-4AB5-B056-925D0B9A24BD}"/>
            </c:ext>
          </c:extLst>
        </c:ser>
        <c:ser>
          <c:idx val="1"/>
          <c:order val="1"/>
          <c:spPr>
            <a:solidFill>
              <a:schemeClr val="accent2"/>
            </a:solidFill>
            <a:ln>
              <a:noFill/>
            </a:ln>
            <a:effectLst/>
          </c:spPr>
          <c:invertIfNegative val="0"/>
          <c:val>
            <c:numRef>
              <c:f>Google!$C$9:$J$9</c:f>
              <c:numCache>
                <c:formatCode>"$"#,##0</c:formatCode>
                <c:ptCount val="8"/>
                <c:pt idx="0">
                  <c:v>311</c:v>
                </c:pt>
                <c:pt idx="1">
                  <c:v>700</c:v>
                </c:pt>
                <c:pt idx="2">
                  <c:v>1384</c:v>
                </c:pt>
                <c:pt idx="3">
                  <c:v>2456</c:v>
                </c:pt>
                <c:pt idx="4">
                  <c:v>3872</c:v>
                </c:pt>
                <c:pt idx="5">
                  <c:v>5367</c:v>
                </c:pt>
                <c:pt idx="6">
                  <c:v>5523</c:v>
                </c:pt>
                <c:pt idx="7">
                  <c:v>6820</c:v>
                </c:pt>
              </c:numCache>
            </c:numRef>
          </c:val>
          <c:extLst>
            <c:ext xmlns:c16="http://schemas.microsoft.com/office/drawing/2014/chart" uri="{C3380CC4-5D6E-409C-BE32-E72D297353CC}">
              <c16:uniqueId val="{00000001-AFEF-4AB5-B056-925D0B9A24BD}"/>
            </c:ext>
          </c:extLst>
        </c:ser>
        <c:ser>
          <c:idx val="2"/>
          <c:order val="2"/>
          <c:spPr>
            <a:solidFill>
              <a:schemeClr val="accent3"/>
            </a:solidFill>
            <a:ln>
              <a:noFill/>
            </a:ln>
            <a:effectLst/>
          </c:spPr>
          <c:invertIfNegative val="0"/>
          <c:val>
            <c:numRef>
              <c:f>Google!$C$10:$J$10</c:f>
              <c:numCache>
                <c:formatCode>"$"#,##0</c:formatCode>
                <c:ptCount val="8"/>
                <c:pt idx="0">
                  <c:v>394</c:v>
                </c:pt>
                <c:pt idx="1">
                  <c:v>806</c:v>
                </c:pt>
                <c:pt idx="2">
                  <c:v>1578</c:v>
                </c:pt>
                <c:pt idx="3">
                  <c:v>2690</c:v>
                </c:pt>
                <c:pt idx="4">
                  <c:v>4232</c:v>
                </c:pt>
                <c:pt idx="5">
                  <c:v>5542</c:v>
                </c:pt>
                <c:pt idx="6">
                  <c:v>5945</c:v>
                </c:pt>
                <c:pt idx="7">
                  <c:v>7286</c:v>
                </c:pt>
              </c:numCache>
            </c:numRef>
          </c:val>
          <c:extLst>
            <c:ext xmlns:c16="http://schemas.microsoft.com/office/drawing/2014/chart" uri="{C3380CC4-5D6E-409C-BE32-E72D297353CC}">
              <c16:uniqueId val="{00000002-AFEF-4AB5-B056-925D0B9A24BD}"/>
            </c:ext>
          </c:extLst>
        </c:ser>
        <c:ser>
          <c:idx val="3"/>
          <c:order val="3"/>
          <c:spPr>
            <a:solidFill>
              <a:schemeClr val="accent4"/>
            </a:solidFill>
            <a:ln>
              <a:noFill/>
            </a:ln>
            <a:effectLst/>
          </c:spPr>
          <c:invertIfNegative val="0"/>
          <c:val>
            <c:numRef>
              <c:f>Google!$C$11:$J$11</c:f>
              <c:numCache>
                <c:formatCode>"$"#,##0</c:formatCode>
                <c:ptCount val="8"/>
                <c:pt idx="0">
                  <c:v>512</c:v>
                </c:pt>
                <c:pt idx="1">
                  <c:v>1032</c:v>
                </c:pt>
                <c:pt idx="2">
                  <c:v>1919</c:v>
                </c:pt>
                <c:pt idx="3">
                  <c:v>3205</c:v>
                </c:pt>
                <c:pt idx="4">
                  <c:v>4827</c:v>
                </c:pt>
                <c:pt idx="5">
                  <c:v>5701</c:v>
                </c:pt>
                <c:pt idx="6">
                  <c:v>6674</c:v>
                </c:pt>
                <c:pt idx="7">
                  <c:v>8440</c:v>
                </c:pt>
              </c:numCache>
            </c:numRef>
          </c:val>
          <c:extLst>
            <c:ext xmlns:c16="http://schemas.microsoft.com/office/drawing/2014/chart" uri="{C3380CC4-5D6E-409C-BE32-E72D297353CC}">
              <c16:uniqueId val="{00000003-AFEF-4AB5-B056-925D0B9A24BD}"/>
            </c:ext>
          </c:extLst>
        </c:ser>
        <c:dLbls>
          <c:showLegendKey val="0"/>
          <c:showVal val="0"/>
          <c:showCatName val="0"/>
          <c:showSerName val="0"/>
          <c:showPercent val="0"/>
          <c:showBubbleSize val="0"/>
        </c:dLbls>
        <c:gapWidth val="150"/>
        <c:overlap val="100"/>
        <c:axId val="304571568"/>
        <c:axId val="304571896"/>
      </c:barChart>
      <c:catAx>
        <c:axId val="3045715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571896"/>
        <c:crosses val="autoZero"/>
        <c:auto val="1"/>
        <c:lblAlgn val="ctr"/>
        <c:lblOffset val="100"/>
        <c:noMultiLvlLbl val="0"/>
      </c:catAx>
      <c:valAx>
        <c:axId val="3045718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57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Google Revenue by Business Segment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Google!$J$16:$J$18</c:f>
              <c:numCache>
                <c:formatCode>"$"#,##0</c:formatCode>
                <c:ptCount val="3"/>
                <c:pt idx="0">
                  <c:v>19443</c:v>
                </c:pt>
                <c:pt idx="1">
                  <c:v>8793</c:v>
                </c:pt>
                <c:pt idx="2">
                  <c:v>1085</c:v>
                </c:pt>
              </c:numCache>
            </c:numRef>
          </c:val>
          <c:extLst>
            <c:ext xmlns:c16="http://schemas.microsoft.com/office/drawing/2014/chart" uri="{C3380CC4-5D6E-409C-BE32-E72D297353CC}">
              <c16:uniqueId val="{00000000-7EA0-4130-818C-5636060F61F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Google Revenue 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val>
            <c:numRef>
              <c:f>Google!$C$19:$J$19</c:f>
              <c:numCache>
                <c:formatCode>"$"#,##0</c:formatCode>
                <c:ptCount val="8"/>
                <c:pt idx="0">
                  <c:v>1466</c:v>
                </c:pt>
                <c:pt idx="1">
                  <c:v>3190</c:v>
                </c:pt>
                <c:pt idx="2">
                  <c:v>6138</c:v>
                </c:pt>
                <c:pt idx="3">
                  <c:v>10605</c:v>
                </c:pt>
                <c:pt idx="4">
                  <c:v>16595</c:v>
                </c:pt>
                <c:pt idx="5">
                  <c:v>21796</c:v>
                </c:pt>
                <c:pt idx="6">
                  <c:v>23651</c:v>
                </c:pt>
                <c:pt idx="7">
                  <c:v>29321</c:v>
                </c:pt>
              </c:numCache>
            </c:numRef>
          </c:val>
          <c:smooth val="0"/>
          <c:extLst>
            <c:ext xmlns:c16="http://schemas.microsoft.com/office/drawing/2014/chart" uri="{C3380CC4-5D6E-409C-BE32-E72D297353CC}">
              <c16:uniqueId val="{00000000-513A-48E3-9842-482F235E4142}"/>
            </c:ext>
          </c:extLst>
        </c:ser>
        <c:dLbls>
          <c:showLegendKey val="0"/>
          <c:showVal val="0"/>
          <c:showCatName val="0"/>
          <c:showSerName val="0"/>
          <c:showPercent val="0"/>
          <c:showBubbleSize val="0"/>
        </c:dLbls>
        <c:smooth val="0"/>
        <c:axId val="490765376"/>
        <c:axId val="490765048"/>
      </c:lineChart>
      <c:catAx>
        <c:axId val="49076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65048"/>
        <c:crosses val="autoZero"/>
        <c:auto val="1"/>
        <c:lblAlgn val="ctr"/>
        <c:lblOffset val="100"/>
        <c:noMultiLvlLbl val="0"/>
      </c:catAx>
      <c:valAx>
        <c:axId val="490765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65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180976</xdr:colOff>
      <xdr:row>0</xdr:row>
      <xdr:rowOff>152399</xdr:rowOff>
    </xdr:from>
    <xdr:to>
      <xdr:col>8</xdr:col>
      <xdr:colOff>266700</xdr:colOff>
      <xdr:row>49</xdr:row>
      <xdr:rowOff>19050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80976" y="152399"/>
          <a:ext cx="4962524" cy="920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Enable Macros to Begin</a:t>
          </a:r>
          <a:r>
            <a:rPr lang="en-US" sz="2400" b="1" baseline="0"/>
            <a:t> Assignment</a:t>
          </a:r>
          <a:endParaRPr lang="en-US" sz="2400" b="1"/>
        </a:p>
        <a:p>
          <a:endParaRPr lang="en-US" sz="1100"/>
        </a:p>
        <a:p>
          <a:r>
            <a:rPr lang="en-US" sz="1100"/>
            <a:t>This assignment file</a:t>
          </a:r>
          <a:r>
            <a:rPr lang="en-US" sz="1100" baseline="0"/>
            <a:t> relies on a set of macros to handle submission and scoring.  Before you may begin the assignment, </a:t>
          </a:r>
          <a:r>
            <a:rPr lang="en-US" sz="1100" b="1" baseline="0"/>
            <a:t>you must enable macros</a:t>
          </a:r>
          <a:r>
            <a:rPr lang="en-US" sz="1100" baseline="0"/>
            <a:t> in this workbook.  Depending the version of Excel and the security settings, you may see a prompt similar to those below</a:t>
          </a:r>
          <a:r>
            <a:rPr lang="en-US" sz="1100" b="1" baseline="0"/>
            <a:t>.  If you have already dismissed the prompt, you may need to close this workbook and open it again</a:t>
          </a:r>
          <a:r>
            <a:rPr lang="en-US" sz="1100" baseline="0"/>
            <a:t>.</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oneCellAnchor>
    <xdr:from>
      <xdr:col>0</xdr:col>
      <xdr:colOff>495300</xdr:colOff>
      <xdr:row>9</xdr:row>
      <xdr:rowOff>133350</xdr:rowOff>
    </xdr:from>
    <xdr:ext cx="4248150" cy="19907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847850"/>
          <a:ext cx="4248150" cy="1990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152400</xdr:colOff>
      <xdr:row>22</xdr:row>
      <xdr:rowOff>19050</xdr:rowOff>
    </xdr:from>
    <xdr:ext cx="3648075" cy="2733675"/>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000" y="4210050"/>
          <a:ext cx="3648075" cy="27336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466725</xdr:colOff>
      <xdr:row>38</xdr:row>
      <xdr:rowOff>114300</xdr:rowOff>
    </xdr:from>
    <xdr:ext cx="4479243" cy="1714500"/>
    <xdr:pic>
      <xdr:nvPicPr>
        <xdr:cNvPr id="5" name="Picture 4" descr="https://mail.google.com/mail/u/0/?ui=2&amp;ik=9cda7b32dd&amp;view=att&amp;th=1488f14f26710943&amp;attid=0.1&amp;disp=emb&amp;zw&amp;atsh=1">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725" y="7353300"/>
          <a:ext cx="4479243" cy="1714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0</xdr:colOff>
      <xdr:row>0</xdr:row>
      <xdr:rowOff>0</xdr:rowOff>
    </xdr:from>
    <xdr:to>
      <xdr:col>10</xdr:col>
      <xdr:colOff>279400</xdr:colOff>
      <xdr:row>4</xdr:row>
      <xdr:rowOff>147950</xdr:rowOff>
    </xdr:to>
    <xdr:grpSp>
      <xdr:nvGrpSpPr>
        <xdr:cNvPr id="6" name="taskBox" hidden="1">
          <a:extLst>
            <a:ext uri="{FF2B5EF4-FFF2-40B4-BE49-F238E27FC236}">
              <a16:creationId xmlns:a16="http://schemas.microsoft.com/office/drawing/2014/main" id="{00000000-0008-0000-0000-000006000000}"/>
            </a:ext>
          </a:extLst>
        </xdr:cNvPr>
        <xdr:cNvGrpSpPr/>
      </xdr:nvGrpSpPr>
      <xdr:grpSpPr>
        <a:xfrm>
          <a:off x="0" y="0"/>
          <a:ext cx="6375400" cy="909950"/>
          <a:chOff x="0" y="0"/>
          <a:chExt cx="6375400" cy="909950"/>
        </a:xfrm>
      </xdr:grpSpPr>
      <xdr:sp macro="taskBoxMove" textlink="">
        <xdr:nvSpPr>
          <xdr:cNvPr id="7" name="header" hidden="1">
            <a:extLst>
              <a:ext uri="{FF2B5EF4-FFF2-40B4-BE49-F238E27FC236}">
                <a16:creationId xmlns:a16="http://schemas.microsoft.com/office/drawing/2014/main" id="{00000000-0008-0000-0000-000007000000}"/>
              </a:ext>
            </a:extLst>
          </xdr:cNvPr>
          <xdr:cNvSpPr txBox="1"/>
        </xdr:nvSpPr>
        <xdr:spPr>
          <a:xfrm>
            <a:off x="0" y="0"/>
            <a:ext cx="6375400" cy="254000"/>
          </a:xfrm>
          <a:prstGeom prst="rect">
            <a:avLst/>
          </a:prstGeom>
          <a:solidFill>
            <a:srgbClr val="632523"/>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400" b="1">
                <a:solidFill>
                  <a:srgbClr val="FFFFFF"/>
                </a:solidFill>
              </a:rPr>
              <a:t>1. Formulas </a:t>
            </a:r>
          </a:p>
        </xdr:txBody>
      </xdr:sp>
      <xdr:sp macro="naught" textlink="">
        <xdr:nvSpPr>
          <xdr:cNvPr id="8" name="body" hidden="1">
            <a:extLst>
              <a:ext uri="{FF2B5EF4-FFF2-40B4-BE49-F238E27FC236}">
                <a16:creationId xmlns:a16="http://schemas.microsoft.com/office/drawing/2014/main" id="{00000000-0008-0000-0000-000008000000}"/>
              </a:ext>
            </a:extLst>
          </xdr:cNvPr>
          <xdr:cNvSpPr txBox="1"/>
        </xdr:nvSpPr>
        <xdr:spPr>
          <a:xfrm>
            <a:off x="381000" y="254000"/>
            <a:ext cx="5994400" cy="655949"/>
          </a:xfrm>
          <a:prstGeom prst="rect">
            <a:avLst/>
          </a:prstGeom>
          <a:solidFill>
            <a:srgbClr val="DDD9C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r>
              <a:rPr lang="en-US" sz="1200"/>
              <a:t>Construct a formula in cell D11 to calculate the sales tax amount for transaction 578. Be sure to appropriately reference the transaction amount in cell C11 and the sales tax rate in cell C8 so that your formula can be reused for the remaining transations.</a:t>
            </a:r>
          </a:p>
        </xdr:txBody>
      </xdr:sp>
      <xdr:sp macro="moveTaskBox" textlink="">
        <xdr:nvSpPr>
          <xdr:cNvPr id="9" name="number" hidden="1">
            <a:extLst>
              <a:ext uri="{FF2B5EF4-FFF2-40B4-BE49-F238E27FC236}">
                <a16:creationId xmlns:a16="http://schemas.microsoft.com/office/drawing/2014/main" id="{00000000-0008-0000-0000-000009000000}"/>
              </a:ext>
            </a:extLst>
          </xdr:cNvPr>
          <xdr:cNvSpPr txBox="1"/>
        </xdr:nvSpPr>
        <xdr:spPr>
          <a:xfrm>
            <a:off x="0" y="254001"/>
            <a:ext cx="381000" cy="655949"/>
          </a:xfrm>
          <a:prstGeom prst="rect">
            <a:avLst/>
          </a:prstGeom>
          <a:solidFill>
            <a:srgbClr val="C4BD97"/>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400" b="1"/>
              <a:t>1</a:t>
            </a:r>
          </a:p>
        </xdr:txBody>
      </xdr:sp>
      <xdr:sp macro="DeleteTaskBox" textlink="">
        <xdr:nvSpPr>
          <xdr:cNvPr id="10" name="close" hidden="1">
            <a:extLst>
              <a:ext uri="{FF2B5EF4-FFF2-40B4-BE49-F238E27FC236}">
                <a16:creationId xmlns:a16="http://schemas.microsoft.com/office/drawing/2014/main" id="{00000000-0008-0000-0000-00000A000000}"/>
              </a:ext>
            </a:extLst>
          </xdr:cNvPr>
          <xdr:cNvSpPr/>
        </xdr:nvSpPr>
        <xdr:spPr>
          <a:xfrm>
            <a:off x="31750" y="31750"/>
            <a:ext cx="190500" cy="190500"/>
          </a:xfrm>
          <a:prstGeom prst="mathMultiply">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reShowForm" textlink="">
        <xdr:nvSpPr>
          <xdr:cNvPr id="11" name="form" hidden="1">
            <a:extLst>
              <a:ext uri="{FF2B5EF4-FFF2-40B4-BE49-F238E27FC236}">
                <a16:creationId xmlns:a16="http://schemas.microsoft.com/office/drawing/2014/main" id="{00000000-0008-0000-0000-00000B000000}"/>
              </a:ext>
            </a:extLst>
          </xdr:cNvPr>
          <xdr:cNvSpPr/>
        </xdr:nvSpPr>
        <xdr:spPr>
          <a:xfrm>
            <a:off x="285750" y="63500"/>
            <a:ext cx="12700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checkComplete" textlink="">
        <xdr:nvSpPr>
          <xdr:cNvPr id="12" name="complete" hidden="1">
            <a:extLst>
              <a:ext uri="{FF2B5EF4-FFF2-40B4-BE49-F238E27FC236}">
                <a16:creationId xmlns:a16="http://schemas.microsoft.com/office/drawing/2014/main" id="{00000000-0008-0000-0000-00000C000000}"/>
              </a:ext>
            </a:extLst>
          </xdr:cNvPr>
          <xdr:cNvSpPr txBox="1"/>
        </xdr:nvSpPr>
        <xdr:spPr>
          <a:xfrm>
            <a:off x="5803900" y="63500"/>
            <a:ext cx="127000" cy="127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12700" tIns="25400" rIns="0" bIns="0" rtlCol="0" anchor="ctr"/>
          <a:lstStyle/>
          <a:p>
            <a:pPr algn="ctr"/>
            <a:endParaRPr lang="en-US" sz="1100">
              <a:latin typeface="Wingdings" panose="05000000000000000000" pitchFamily="2" charset="2"/>
            </a:endParaRPr>
          </a:p>
        </xdr:txBody>
      </xdr:sp>
      <xdr:sp macro="priorTask" textlink="">
        <xdr:nvSpPr>
          <xdr:cNvPr id="13" name="prior" hidden="1">
            <a:extLst>
              <a:ext uri="{FF2B5EF4-FFF2-40B4-BE49-F238E27FC236}">
                <a16:creationId xmlns:a16="http://schemas.microsoft.com/office/drawing/2014/main" id="{00000000-0008-0000-0000-00000D000000}"/>
              </a:ext>
            </a:extLst>
          </xdr:cNvPr>
          <xdr:cNvSpPr/>
        </xdr:nvSpPr>
        <xdr:spPr>
          <a:xfrm rot="16200000">
            <a:off x="5994400" y="63500"/>
            <a:ext cx="15875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nextTask" textlink="">
        <xdr:nvSpPr>
          <xdr:cNvPr id="14" name="next" hidden="1">
            <a:extLst>
              <a:ext uri="{FF2B5EF4-FFF2-40B4-BE49-F238E27FC236}">
                <a16:creationId xmlns:a16="http://schemas.microsoft.com/office/drawing/2014/main" id="{00000000-0008-0000-0000-00000E000000}"/>
              </a:ext>
            </a:extLst>
          </xdr:cNvPr>
          <xdr:cNvSpPr/>
        </xdr:nvSpPr>
        <xdr:spPr>
          <a:xfrm rot="5400000">
            <a:off x="6178550" y="63500"/>
            <a:ext cx="15875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114299</xdr:colOff>
      <xdr:row>4</xdr:row>
      <xdr:rowOff>78832</xdr:rowOff>
    </xdr:from>
    <xdr:to>
      <xdr:col>11</xdr:col>
      <xdr:colOff>510312</xdr:colOff>
      <xdr:row>9</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23899" y="917032"/>
          <a:ext cx="6492013" cy="873668"/>
        </a:xfrm>
        <a:prstGeom prst="rect">
          <a:avLst/>
        </a:prstGeom>
      </xdr:spPr>
    </xdr:pic>
    <xdr:clientData/>
  </xdr:twoCellAnchor>
  <xdr:twoCellAnchor editAs="oneCell">
    <xdr:from>
      <xdr:col>7</xdr:col>
      <xdr:colOff>139700</xdr:colOff>
      <xdr:row>12</xdr:row>
      <xdr:rowOff>101600</xdr:rowOff>
    </xdr:from>
    <xdr:to>
      <xdr:col>11</xdr:col>
      <xdr:colOff>510824</xdr:colOff>
      <xdr:row>19</xdr:row>
      <xdr:rowOff>98264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4406900" y="2463800"/>
          <a:ext cx="2809524" cy="1330164"/>
        </a:xfrm>
        <a:prstGeom prst="rect">
          <a:avLst/>
        </a:prstGeom>
      </xdr:spPr>
    </xdr:pic>
    <xdr:clientData/>
  </xdr:twoCellAnchor>
  <xdr:twoCellAnchor editAs="oneCell">
    <xdr:from>
      <xdr:col>1</xdr:col>
      <xdr:colOff>133350</xdr:colOff>
      <xdr:row>23</xdr:row>
      <xdr:rowOff>120650</xdr:rowOff>
    </xdr:from>
    <xdr:to>
      <xdr:col>5</xdr:col>
      <xdr:colOff>504474</xdr:colOff>
      <xdr:row>30</xdr:row>
      <xdr:rowOff>117314</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742950" y="4578350"/>
          <a:ext cx="2809524" cy="1330164"/>
        </a:xfrm>
        <a:prstGeom prst="rect">
          <a:avLst/>
        </a:prstGeom>
      </xdr:spPr>
    </xdr:pic>
    <xdr:clientData/>
  </xdr:twoCellAnchor>
  <xdr:twoCellAnchor editAs="oneCell">
    <xdr:from>
      <xdr:col>7</xdr:col>
      <xdr:colOff>95250</xdr:colOff>
      <xdr:row>23</xdr:row>
      <xdr:rowOff>133350</xdr:rowOff>
    </xdr:from>
    <xdr:to>
      <xdr:col>11</xdr:col>
      <xdr:colOff>466374</xdr:colOff>
      <xdr:row>30</xdr:row>
      <xdr:rowOff>130014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4362450" y="4591050"/>
          <a:ext cx="2809524" cy="1330164"/>
        </a:xfrm>
        <a:prstGeom prst="rect">
          <a:avLst/>
        </a:prstGeom>
      </xdr:spPr>
    </xdr:pic>
    <xdr:clientData/>
  </xdr:twoCellAnchor>
  <xdr:twoCellAnchor editAs="oneCell">
    <xdr:from>
      <xdr:col>1</xdr:col>
      <xdr:colOff>127000</xdr:colOff>
      <xdr:row>12</xdr:row>
      <xdr:rowOff>82550</xdr:rowOff>
    </xdr:from>
    <xdr:to>
      <xdr:col>5</xdr:col>
      <xdr:colOff>505414</xdr:colOff>
      <xdr:row>19</xdr:row>
      <xdr:rowOff>82550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736600" y="2444750"/>
          <a:ext cx="2816814" cy="1333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409575</xdr:colOff>
      <xdr:row>0</xdr:row>
      <xdr:rowOff>190500</xdr:rowOff>
    </xdr:from>
    <xdr:to>
      <xdr:col>18</xdr:col>
      <xdr:colOff>333375</xdr:colOff>
      <xdr:row>15</xdr:row>
      <xdr:rowOff>38100</xdr:rowOff>
    </xdr:to>
    <xdr:graphicFrame macro="">
      <xdr:nvGraphicFramePr>
        <xdr:cNvPr id="2" name="Chart 1">
          <a:extLst>
            <a:ext uri="{FF2B5EF4-FFF2-40B4-BE49-F238E27FC236}">
              <a16:creationId xmlns:a16="http://schemas.microsoft.com/office/drawing/2014/main" id="{7EED4ECF-AE8C-4F33-BEBF-0233D4805A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433387</xdr:colOff>
      <xdr:row>15</xdr:row>
      <xdr:rowOff>171450</xdr:rowOff>
    </xdr:from>
    <xdr:to>
      <xdr:col>18</xdr:col>
      <xdr:colOff>357187</xdr:colOff>
      <xdr:row>30</xdr:row>
      <xdr:rowOff>47625</xdr:rowOff>
    </xdr:to>
    <xdr:graphicFrame macro="">
      <xdr:nvGraphicFramePr>
        <xdr:cNvPr id="3" name="Chart 2">
          <a:extLst>
            <a:ext uri="{FF2B5EF4-FFF2-40B4-BE49-F238E27FC236}">
              <a16:creationId xmlns:a16="http://schemas.microsoft.com/office/drawing/2014/main" id="{14C97DE1-6F06-4C0A-A3EF-DB777265F2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261937</xdr:colOff>
      <xdr:row>19</xdr:row>
      <xdr:rowOff>142875</xdr:rowOff>
    </xdr:from>
    <xdr:to>
      <xdr:col>10</xdr:col>
      <xdr:colOff>185737</xdr:colOff>
      <xdr:row>34</xdr:row>
      <xdr:rowOff>28575</xdr:rowOff>
    </xdr:to>
    <xdr:graphicFrame macro="">
      <xdr:nvGraphicFramePr>
        <xdr:cNvPr id="4" name="Chart 3">
          <a:extLst>
            <a:ext uri="{FF2B5EF4-FFF2-40B4-BE49-F238E27FC236}">
              <a16:creationId xmlns:a16="http://schemas.microsoft.com/office/drawing/2014/main" id="{EC78A3BE-56B8-4385-BD28-C8156D3652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328612</xdr:colOff>
      <xdr:row>32</xdr:row>
      <xdr:rowOff>152400</xdr:rowOff>
    </xdr:from>
    <xdr:to>
      <xdr:col>18</xdr:col>
      <xdr:colOff>252412</xdr:colOff>
      <xdr:row>47</xdr:row>
      <xdr:rowOff>38100</xdr:rowOff>
    </xdr:to>
    <xdr:graphicFrame macro="">
      <xdr:nvGraphicFramePr>
        <xdr:cNvPr id="5" name="Chart 4">
          <a:extLst>
            <a:ext uri="{FF2B5EF4-FFF2-40B4-BE49-F238E27FC236}">
              <a16:creationId xmlns:a16="http://schemas.microsoft.com/office/drawing/2014/main" id="{114E71A1-7655-4165-91A4-3BB319CB5E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0.01389</cdr:x>
      <cdr:y>0.02315</cdr:y>
    </cdr:from>
    <cdr:to>
      <cdr:x>0.01389</cdr:x>
      <cdr:y>0.02315</cdr:y>
    </cdr:to>
    <cdr:cxnSp macro="">
      <cdr:nvCxnSpPr>
        <cdr:cNvPr id="2" name="invisaline">
          <a:extLst xmlns:a="http://schemas.openxmlformats.org/drawingml/2006/main">
            <a:ext uri="{FF2B5EF4-FFF2-40B4-BE49-F238E27FC236}">
              <a16:creationId xmlns:a16="http://schemas.microsoft.com/office/drawing/2014/main" id="{7816B503-3205-4501-822D-327F6561148A}"/>
            </a:ext>
          </a:extLst>
        </cdr:cNvPr>
        <cdr:cNvCxnSpPr/>
      </cdr:nvCxnSpPr>
      <cdr:spPr>
        <a:xfrm xmlns:a="http://schemas.openxmlformats.org/drawingml/2006/main">
          <a:off x="63500" y="63500"/>
          <a:ext cx="0" cy="0"/>
        </a:xfrm>
        <a:prstGeom xmlns:a="http://schemas.openxmlformats.org/drawingml/2006/main" prst="line">
          <a:avLst/>
        </a:prstGeom>
        <a:ln xmlns:a="http://schemas.openxmlformats.org/drawingml/2006/main">
          <a:solidFill>
            <a:srgbClr val="00B2C8"/>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0.01389</cdr:x>
      <cdr:y>0.02315</cdr:y>
    </cdr:from>
    <cdr:to>
      <cdr:x>0.01389</cdr:x>
      <cdr:y>0.02315</cdr:y>
    </cdr:to>
    <cdr:cxnSp macro="">
      <cdr:nvCxnSpPr>
        <cdr:cNvPr id="2" name="invisaline">
          <a:extLst xmlns:a="http://schemas.openxmlformats.org/drawingml/2006/main">
            <a:ext uri="{FF2B5EF4-FFF2-40B4-BE49-F238E27FC236}">
              <a16:creationId xmlns:a16="http://schemas.microsoft.com/office/drawing/2014/main" id="{F3E5DE09-0F15-4610-A942-66C51ECF366E}"/>
            </a:ext>
          </a:extLst>
        </cdr:cNvPr>
        <cdr:cNvCxnSpPr/>
      </cdr:nvCxnSpPr>
      <cdr:spPr>
        <a:xfrm xmlns:a="http://schemas.openxmlformats.org/drawingml/2006/main">
          <a:off x="63500" y="63500"/>
          <a:ext cx="0" cy="0"/>
        </a:xfrm>
        <a:prstGeom xmlns:a="http://schemas.openxmlformats.org/drawingml/2006/main" prst="line">
          <a:avLst/>
        </a:prstGeom>
        <a:ln xmlns:a="http://schemas.openxmlformats.org/drawingml/2006/main">
          <a:solidFill>
            <a:srgbClr val="00B2C8"/>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0.01389</cdr:x>
      <cdr:y>0.02315</cdr:y>
    </cdr:from>
    <cdr:to>
      <cdr:x>0.01389</cdr:x>
      <cdr:y>0.02315</cdr:y>
    </cdr:to>
    <cdr:cxnSp macro="">
      <cdr:nvCxnSpPr>
        <cdr:cNvPr id="2" name="invisaline">
          <a:extLst xmlns:a="http://schemas.openxmlformats.org/drawingml/2006/main">
            <a:ext uri="{FF2B5EF4-FFF2-40B4-BE49-F238E27FC236}">
              <a16:creationId xmlns:a16="http://schemas.microsoft.com/office/drawing/2014/main" id="{4AC7E49E-088A-493B-82AB-30CAD78E997F}"/>
            </a:ext>
          </a:extLst>
        </cdr:cNvPr>
        <cdr:cNvCxnSpPr/>
      </cdr:nvCxnSpPr>
      <cdr:spPr>
        <a:xfrm xmlns:a="http://schemas.openxmlformats.org/drawingml/2006/main">
          <a:off x="63500" y="63500"/>
          <a:ext cx="0" cy="0"/>
        </a:xfrm>
        <a:prstGeom xmlns:a="http://schemas.openxmlformats.org/drawingml/2006/main" prst="line">
          <a:avLst/>
        </a:prstGeom>
        <a:ln xmlns:a="http://schemas.openxmlformats.org/drawingml/2006/main">
          <a:solidFill>
            <a:srgbClr val="00B2C8"/>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xml><?xml version="1.0" encoding="utf-8"?>
<c:userShapes xmlns:c="http://schemas.openxmlformats.org/drawingml/2006/chart">
  <cdr:relSizeAnchor xmlns:cdr="http://schemas.openxmlformats.org/drawingml/2006/chartDrawing">
    <cdr:from>
      <cdr:x>0.01389</cdr:x>
      <cdr:y>0.02315</cdr:y>
    </cdr:from>
    <cdr:to>
      <cdr:x>0.01389</cdr:x>
      <cdr:y>0.02315</cdr:y>
    </cdr:to>
    <cdr:cxnSp macro="">
      <cdr:nvCxnSpPr>
        <cdr:cNvPr id="2" name="invisaline">
          <a:extLst xmlns:a="http://schemas.openxmlformats.org/drawingml/2006/main">
            <a:ext uri="{FF2B5EF4-FFF2-40B4-BE49-F238E27FC236}">
              <a16:creationId xmlns:a16="http://schemas.microsoft.com/office/drawing/2014/main" id="{7C6D41A2-1E97-420C-8F1E-601EAD237734}"/>
            </a:ext>
          </a:extLst>
        </cdr:cNvPr>
        <cdr:cNvCxnSpPr/>
      </cdr:nvCxnSpPr>
      <cdr:spPr>
        <a:xfrm xmlns:a="http://schemas.openxmlformats.org/drawingml/2006/main">
          <a:off x="63500" y="63500"/>
          <a:ext cx="0" cy="0"/>
        </a:xfrm>
        <a:prstGeom xmlns:a="http://schemas.openxmlformats.org/drawingml/2006/main" prst="line">
          <a:avLst/>
        </a:prstGeom>
        <a:ln xmlns:a="http://schemas.openxmlformats.org/drawingml/2006/main">
          <a:solidFill>
            <a:srgbClr val="00B2C8"/>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336550</xdr:colOff>
      <xdr:row>3</xdr:row>
      <xdr:rowOff>141053</xdr:rowOff>
    </xdr:to>
    <xdr:grpSp>
      <xdr:nvGrpSpPr>
        <xdr:cNvPr id="2" name="taskBox" hidden="1">
          <a:extLst>
            <a:ext uri="{FF2B5EF4-FFF2-40B4-BE49-F238E27FC236}">
              <a16:creationId xmlns:a16="http://schemas.microsoft.com/office/drawing/2014/main" id="{00000000-0008-0000-0600-000002000000}"/>
            </a:ext>
          </a:extLst>
        </xdr:cNvPr>
        <xdr:cNvGrpSpPr/>
      </xdr:nvGrpSpPr>
      <xdr:grpSpPr>
        <a:xfrm>
          <a:off x="0" y="0"/>
          <a:ext cx="5708650" cy="722078"/>
          <a:chOff x="0" y="0"/>
          <a:chExt cx="6375400" cy="722078"/>
        </a:xfrm>
      </xdr:grpSpPr>
      <xdr:sp macro="taskBoxMove" textlink="">
        <xdr:nvSpPr>
          <xdr:cNvPr id="3" name="header" hidden="1">
            <a:extLst>
              <a:ext uri="{FF2B5EF4-FFF2-40B4-BE49-F238E27FC236}">
                <a16:creationId xmlns:a16="http://schemas.microsoft.com/office/drawing/2014/main" id="{00000000-0008-0000-0600-000003000000}"/>
              </a:ext>
            </a:extLst>
          </xdr:cNvPr>
          <xdr:cNvSpPr txBox="1"/>
        </xdr:nvSpPr>
        <xdr:spPr>
          <a:xfrm>
            <a:off x="0" y="0"/>
            <a:ext cx="6375400" cy="254000"/>
          </a:xfrm>
          <a:prstGeom prst="rect">
            <a:avLst/>
          </a:prstGeom>
          <a:solidFill>
            <a:srgbClr val="632523"/>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400" b="1">
                <a:solidFill>
                  <a:srgbClr val="FFFFFF"/>
                </a:solidFill>
              </a:rPr>
              <a:t>1. Event Profitability</a:t>
            </a:r>
          </a:p>
        </xdr:txBody>
      </xdr:sp>
      <xdr:sp macro="naught" textlink="">
        <xdr:nvSpPr>
          <xdr:cNvPr id="4" name="body" hidden="1">
            <a:extLst>
              <a:ext uri="{FF2B5EF4-FFF2-40B4-BE49-F238E27FC236}">
                <a16:creationId xmlns:a16="http://schemas.microsoft.com/office/drawing/2014/main" id="{00000000-0008-0000-0600-000004000000}"/>
              </a:ext>
            </a:extLst>
          </xdr:cNvPr>
          <xdr:cNvSpPr txBox="1"/>
        </xdr:nvSpPr>
        <xdr:spPr>
          <a:xfrm>
            <a:off x="381000" y="254000"/>
            <a:ext cx="5994400" cy="468077"/>
          </a:xfrm>
          <a:prstGeom prst="rect">
            <a:avLst/>
          </a:prstGeom>
          <a:solidFill>
            <a:srgbClr val="DDD9C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r>
              <a:rPr lang="en-US" sz="1200"/>
              <a:t>Complete the Sales portion of the Profit Summary section of the worksheet by referencing the total sales from the Gross Profit section of the model.</a:t>
            </a:r>
          </a:p>
        </xdr:txBody>
      </xdr:sp>
      <xdr:sp macro="moveTaskBox" textlink="">
        <xdr:nvSpPr>
          <xdr:cNvPr id="5" name="number" hidden="1">
            <a:extLst>
              <a:ext uri="{FF2B5EF4-FFF2-40B4-BE49-F238E27FC236}">
                <a16:creationId xmlns:a16="http://schemas.microsoft.com/office/drawing/2014/main" id="{00000000-0008-0000-0600-000005000000}"/>
              </a:ext>
            </a:extLst>
          </xdr:cNvPr>
          <xdr:cNvSpPr txBox="1"/>
        </xdr:nvSpPr>
        <xdr:spPr>
          <a:xfrm>
            <a:off x="0" y="254001"/>
            <a:ext cx="381000" cy="468077"/>
          </a:xfrm>
          <a:prstGeom prst="rect">
            <a:avLst/>
          </a:prstGeom>
          <a:solidFill>
            <a:srgbClr val="C4BD97"/>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400" b="1"/>
              <a:t>26</a:t>
            </a:r>
          </a:p>
        </xdr:txBody>
      </xdr:sp>
      <xdr:sp macro="DeleteTaskBox" textlink="">
        <xdr:nvSpPr>
          <xdr:cNvPr id="6" name="close" hidden="1">
            <a:extLst>
              <a:ext uri="{FF2B5EF4-FFF2-40B4-BE49-F238E27FC236}">
                <a16:creationId xmlns:a16="http://schemas.microsoft.com/office/drawing/2014/main" id="{00000000-0008-0000-0600-000006000000}"/>
              </a:ext>
            </a:extLst>
          </xdr:cNvPr>
          <xdr:cNvSpPr/>
        </xdr:nvSpPr>
        <xdr:spPr>
          <a:xfrm>
            <a:off x="31750" y="31750"/>
            <a:ext cx="190500" cy="190500"/>
          </a:xfrm>
          <a:prstGeom prst="mathMultiply">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reShowForm" textlink="">
        <xdr:nvSpPr>
          <xdr:cNvPr id="7" name="form" hidden="1">
            <a:extLst>
              <a:ext uri="{FF2B5EF4-FFF2-40B4-BE49-F238E27FC236}">
                <a16:creationId xmlns:a16="http://schemas.microsoft.com/office/drawing/2014/main" id="{00000000-0008-0000-0600-000007000000}"/>
              </a:ext>
            </a:extLst>
          </xdr:cNvPr>
          <xdr:cNvSpPr/>
        </xdr:nvSpPr>
        <xdr:spPr>
          <a:xfrm>
            <a:off x="285750" y="63500"/>
            <a:ext cx="12700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checkComplete" textlink="">
        <xdr:nvSpPr>
          <xdr:cNvPr id="8" name="complete" hidden="1">
            <a:extLst>
              <a:ext uri="{FF2B5EF4-FFF2-40B4-BE49-F238E27FC236}">
                <a16:creationId xmlns:a16="http://schemas.microsoft.com/office/drawing/2014/main" id="{00000000-0008-0000-0600-000008000000}"/>
              </a:ext>
            </a:extLst>
          </xdr:cNvPr>
          <xdr:cNvSpPr txBox="1"/>
        </xdr:nvSpPr>
        <xdr:spPr>
          <a:xfrm>
            <a:off x="5803900" y="63500"/>
            <a:ext cx="127000" cy="127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12700" tIns="25400" rIns="0" bIns="0" rtlCol="0" anchor="ctr"/>
          <a:lstStyle/>
          <a:p>
            <a:pPr algn="ctr"/>
            <a:endParaRPr lang="en-US" sz="1100">
              <a:latin typeface="Wingdings"/>
            </a:endParaRPr>
          </a:p>
        </xdr:txBody>
      </xdr:sp>
      <xdr:sp macro="priorTask" textlink="">
        <xdr:nvSpPr>
          <xdr:cNvPr id="9" name="prior" hidden="1">
            <a:extLst>
              <a:ext uri="{FF2B5EF4-FFF2-40B4-BE49-F238E27FC236}">
                <a16:creationId xmlns:a16="http://schemas.microsoft.com/office/drawing/2014/main" id="{00000000-0008-0000-0600-000009000000}"/>
              </a:ext>
            </a:extLst>
          </xdr:cNvPr>
          <xdr:cNvSpPr/>
        </xdr:nvSpPr>
        <xdr:spPr>
          <a:xfrm rot="16200000">
            <a:off x="5994400" y="63500"/>
            <a:ext cx="15875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nextTask" textlink="">
        <xdr:nvSpPr>
          <xdr:cNvPr id="10" name="next" hidden="1">
            <a:extLst>
              <a:ext uri="{FF2B5EF4-FFF2-40B4-BE49-F238E27FC236}">
                <a16:creationId xmlns:a16="http://schemas.microsoft.com/office/drawing/2014/main" id="{00000000-0008-0000-0600-00000A000000}"/>
              </a:ext>
            </a:extLst>
          </xdr:cNvPr>
          <xdr:cNvSpPr/>
        </xdr:nvSpPr>
        <xdr:spPr>
          <a:xfrm rot="5400000">
            <a:off x="6178550" y="63500"/>
            <a:ext cx="15875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Nick%20Ball\Desktop\AssignmentCreator\assignments\ExcelEducator\UVU%20Final\KEY_UVU%20Final.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utomated%20Grader/Fall%202011/M%20B%20A%20614/Project%205_%20Data%20Access%20and%20Storage/graded/Albrechtsen,%20Nathan%20(4837691)%20WebDatabaseProjectFinal~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_Rental Analysis"/>
      <sheetName val="KEY_Rental Info"/>
      <sheetName val="KEY_Do Bookings"/>
      <sheetName val="KEY_Room Rates"/>
      <sheetName val="KEY_Scenario Summary"/>
      <sheetName val="KEY_Do Scenario"/>
      <sheetName val="KEY_Answer Report 1"/>
      <sheetName val="KEY_Do Solver"/>
      <sheetName val="KEY_Apple Unit Sales"/>
      <sheetName val="KEY_AppleProductChart"/>
      <sheetName val="KEY_NW Order Totals"/>
      <sheetName val="KEY_NWAnalysisChart"/>
      <sheetName val="Do Bookings"/>
      <sheetName val="Room Rates"/>
      <sheetName val="Do Scenario"/>
      <sheetName val="Do Solver"/>
      <sheetName val="Rental Info"/>
      <sheetName val="Rental Analysis"/>
      <sheetName val="Apple Unit Sales"/>
      <sheetName val="igAssignment"/>
      <sheetName val="igDataFields"/>
      <sheetName val="igInstructions"/>
      <sheetName val="igTaskSets"/>
      <sheetName val="igTasks"/>
      <sheetName val="igRules"/>
      <sheetName val="igPrefills"/>
      <sheetName val="igModel"/>
    </sheetNames>
    <sheetDataSet>
      <sheetData sheetId="0"/>
      <sheetData sheetId="1"/>
      <sheetData sheetId="2"/>
      <sheetData sheetId="3">
        <row r="5">
          <cell r="B5" t="str">
            <v>King</v>
          </cell>
          <cell r="C5">
            <v>125</v>
          </cell>
          <cell r="D5">
            <v>25</v>
          </cell>
        </row>
        <row r="6">
          <cell r="B6" t="str">
            <v>TwoQueen</v>
          </cell>
          <cell r="C6">
            <v>110</v>
          </cell>
          <cell r="D6">
            <v>0</v>
          </cell>
        </row>
        <row r="7">
          <cell r="B7" t="str">
            <v>OneQueen</v>
          </cell>
          <cell r="C7">
            <v>75</v>
          </cell>
          <cell r="D7">
            <v>20</v>
          </cell>
        </row>
        <row r="8">
          <cell r="B8" t="str">
            <v>Single</v>
          </cell>
          <cell r="C8">
            <v>65</v>
          </cell>
          <cell r="D8">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ore"/>
      <sheetName val="Craigs List"/>
      <sheetName val="Sheet2"/>
      <sheetName val="Sheet3"/>
    </sheetNames>
    <sheetDataSet>
      <sheetData sheetId="0"/>
      <sheetData sheetId="1">
        <row r="5">
          <cell r="B5" t="str">
            <v>http://gove.net/craigslist</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enableMacros"/>
  <dimension ref="B1:AA27"/>
  <sheetViews>
    <sheetView workbookViewId="0">
      <selection activeCell="N11" sqref="N11"/>
    </sheetView>
  </sheetViews>
  <sheetFormatPr defaultColWidth="9.140625" defaultRowHeight="15" x14ac:dyDescent="0.25"/>
  <cols>
    <col min="1" max="26" width="9.140625" style="1"/>
    <col min="27" max="27" width="9.140625" style="1" hidden="1" customWidth="1"/>
    <col min="28" max="16384" width="9.140625" style="1"/>
  </cols>
  <sheetData>
    <row r="1" spans="2:27" x14ac:dyDescent="0.25">
      <c r="AA1" s="2" t="s">
        <v>15</v>
      </c>
    </row>
    <row r="2" spans="2:27" x14ac:dyDescent="0.25">
      <c r="B2" s="4" t="s">
        <v>224</v>
      </c>
      <c r="AA2" s="2" t="s">
        <v>0</v>
      </c>
    </row>
    <row r="3" spans="2:27" x14ac:dyDescent="0.25">
      <c r="B3" s="3" t="s">
        <v>225</v>
      </c>
      <c r="AA3" s="2" t="s">
        <v>0</v>
      </c>
    </row>
    <row r="4" spans="2:27" x14ac:dyDescent="0.25">
      <c r="B4" s="3" t="s">
        <v>226</v>
      </c>
      <c r="AA4" s="2" t="s">
        <v>14</v>
      </c>
    </row>
    <row r="5" spans="2:27" x14ac:dyDescent="0.25">
      <c r="B5" s="3" t="s">
        <v>227</v>
      </c>
      <c r="AA5" s="2" t="s">
        <v>13</v>
      </c>
    </row>
    <row r="6" spans="2:27" x14ac:dyDescent="0.25">
      <c r="B6" s="3" t="s">
        <v>228</v>
      </c>
      <c r="AA6" s="2" t="s">
        <v>12</v>
      </c>
    </row>
    <row r="7" spans="2:27" x14ac:dyDescent="0.25">
      <c r="B7" s="3" t="s">
        <v>229</v>
      </c>
      <c r="AA7" s="2" t="s">
        <v>11</v>
      </c>
    </row>
    <row r="8" spans="2:27" x14ac:dyDescent="0.25">
      <c r="B8" s="1" t="s">
        <v>230</v>
      </c>
      <c r="AA8" s="2" t="s">
        <v>10</v>
      </c>
    </row>
    <row r="9" spans="2:27" x14ac:dyDescent="0.25">
      <c r="B9" s="1" t="s">
        <v>160</v>
      </c>
      <c r="AA9" s="2" t="s">
        <v>1</v>
      </c>
    </row>
    <row r="10" spans="2:27" x14ac:dyDescent="0.25">
      <c r="B10" s="1" t="s">
        <v>231</v>
      </c>
      <c r="AA10" s="2" t="s">
        <v>9</v>
      </c>
    </row>
    <row r="11" spans="2:27" x14ac:dyDescent="0.25">
      <c r="AA11" s="2" t="s">
        <v>8</v>
      </c>
    </row>
    <row r="12" spans="2:27" x14ac:dyDescent="0.25">
      <c r="AA12" s="2" t="s">
        <v>7</v>
      </c>
    </row>
    <row r="13" spans="2:27" x14ac:dyDescent="0.25">
      <c r="AA13" s="2" t="s">
        <v>6</v>
      </c>
    </row>
    <row r="14" spans="2:27" x14ac:dyDescent="0.25">
      <c r="AA14" s="2" t="s">
        <v>5</v>
      </c>
    </row>
    <row r="15" spans="2:27" x14ac:dyDescent="0.25">
      <c r="AA15" s="2" t="s">
        <v>4</v>
      </c>
    </row>
    <row r="16" spans="2:27" x14ac:dyDescent="0.25">
      <c r="AA16" s="2" t="s">
        <v>3</v>
      </c>
    </row>
    <row r="17" spans="27:27" x14ac:dyDescent="0.25">
      <c r="AA17" s="2" t="s">
        <v>0</v>
      </c>
    </row>
    <row r="18" spans="27:27" x14ac:dyDescent="0.25">
      <c r="AA18" s="2" t="s">
        <v>0</v>
      </c>
    </row>
    <row r="19" spans="27:27" x14ac:dyDescent="0.25">
      <c r="AA19" s="2" t="s">
        <v>2</v>
      </c>
    </row>
    <row r="20" spans="27:27" x14ac:dyDescent="0.25">
      <c r="AA20" s="2" t="s">
        <v>0</v>
      </c>
    </row>
    <row r="21" spans="27:27" x14ac:dyDescent="0.25">
      <c r="AA21" s="2" t="s">
        <v>1</v>
      </c>
    </row>
    <row r="22" spans="27:27" x14ac:dyDescent="0.25">
      <c r="AA22" s="2" t="s">
        <v>0</v>
      </c>
    </row>
    <row r="23" spans="27:27" x14ac:dyDescent="0.25">
      <c r="AA23" s="2" t="s">
        <v>0</v>
      </c>
    </row>
    <row r="24" spans="27:27" x14ac:dyDescent="0.25">
      <c r="AA24" s="2" t="s">
        <v>0</v>
      </c>
    </row>
    <row r="25" spans="27:27" x14ac:dyDescent="0.25">
      <c r="AA25" s="2" t="s">
        <v>0</v>
      </c>
    </row>
    <row r="26" spans="27:27" x14ac:dyDescent="0.25">
      <c r="AA26" s="2" t="s">
        <v>0</v>
      </c>
    </row>
    <row r="27" spans="27:27" x14ac:dyDescent="0.25">
      <c r="AA27" s="2" t="s">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ublished="0" codeName="Sheet5"/>
  <dimension ref="B1:L23"/>
  <sheetViews>
    <sheetView topLeftCell="A5" zoomScaleNormal="100" workbookViewId="0"/>
  </sheetViews>
  <sheetFormatPr defaultRowHeight="15" x14ac:dyDescent="0.25"/>
  <sheetData>
    <row r="1" spans="2:12" ht="15.75" thickBot="1" x14ac:dyDescent="0.3"/>
    <row r="2" spans="2:12" ht="20.25" thickBot="1" x14ac:dyDescent="0.35">
      <c r="B2" s="145" t="s">
        <v>16</v>
      </c>
      <c r="C2" s="146"/>
      <c r="D2" s="146"/>
      <c r="E2" s="146"/>
      <c r="F2" s="146"/>
      <c r="G2" s="146"/>
      <c r="H2" s="146"/>
      <c r="I2" s="146"/>
      <c r="J2" s="146"/>
      <c r="K2" s="146"/>
      <c r="L2" s="147"/>
    </row>
    <row r="4" spans="2:12" x14ac:dyDescent="0.25">
      <c r="B4" s="5" t="s">
        <v>17</v>
      </c>
    </row>
    <row r="11" spans="2:12" x14ac:dyDescent="0.25">
      <c r="B11" s="148" t="s">
        <v>18</v>
      </c>
      <c r="C11" s="149"/>
      <c r="D11" s="149"/>
      <c r="E11" s="149"/>
      <c r="F11" s="150"/>
      <c r="H11" s="148" t="s">
        <v>19</v>
      </c>
      <c r="I11" s="149"/>
      <c r="J11" s="149"/>
      <c r="K11" s="149"/>
      <c r="L11" s="150"/>
    </row>
    <row r="12" spans="2:12" x14ac:dyDescent="0.25">
      <c r="B12" s="151"/>
      <c r="C12" s="152"/>
      <c r="D12" s="152"/>
      <c r="E12" s="152"/>
      <c r="F12" s="153"/>
      <c r="H12" s="151"/>
      <c r="I12" s="152"/>
      <c r="J12" s="152"/>
      <c r="K12" s="152"/>
      <c r="L12" s="153"/>
    </row>
    <row r="22" spans="2:12" x14ac:dyDescent="0.25">
      <c r="B22" s="148" t="s">
        <v>20</v>
      </c>
      <c r="C22" s="149"/>
      <c r="D22" s="149"/>
      <c r="E22" s="149"/>
      <c r="F22" s="150"/>
      <c r="H22" s="148" t="s">
        <v>21</v>
      </c>
      <c r="I22" s="149"/>
      <c r="J22" s="149"/>
      <c r="K22" s="149"/>
      <c r="L22" s="150"/>
    </row>
    <row r="23" spans="2:12" x14ac:dyDescent="0.25">
      <c r="B23" s="151"/>
      <c r="C23" s="152"/>
      <c r="D23" s="152"/>
      <c r="E23" s="152"/>
      <c r="F23" s="153"/>
      <c r="H23" s="151"/>
      <c r="I23" s="152"/>
      <c r="J23" s="152"/>
      <c r="K23" s="152"/>
      <c r="L23" s="153"/>
    </row>
  </sheetData>
  <mergeCells count="5">
    <mergeCell ref="B2:L2"/>
    <mergeCell ref="B11:F12"/>
    <mergeCell ref="H11:L12"/>
    <mergeCell ref="B22:F23"/>
    <mergeCell ref="H22:L23"/>
  </mergeCells>
  <pageMargins left="0.7" right="0.7" top="0.75" bottom="0.75" header="0.3" footer="0.3"/>
  <pageSetup orientation="portrait" verticalDpi="60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100"/>
  <sheetViews>
    <sheetView workbookViewId="0">
      <selection activeCell="A55" sqref="A55:XFD55"/>
    </sheetView>
  </sheetViews>
  <sheetFormatPr defaultRowHeight="15" x14ac:dyDescent="0.25"/>
  <cols>
    <col min="2" max="2" width="14.28515625" bestFit="1" customWidth="1"/>
    <col min="3" max="4" width="10.5703125" customWidth="1"/>
    <col min="5" max="5" width="21.7109375" bestFit="1" customWidth="1"/>
    <col min="6" max="6" width="10.5703125" customWidth="1"/>
    <col min="7" max="7" width="12.7109375" customWidth="1"/>
  </cols>
  <sheetData>
    <row r="1" spans="1:7" ht="15.75" thickBot="1" x14ac:dyDescent="0.3">
      <c r="A1" s="6"/>
    </row>
    <row r="2" spans="1:7" ht="15" customHeight="1" x14ac:dyDescent="0.25">
      <c r="A2" s="7"/>
      <c r="B2" s="154" t="s">
        <v>22</v>
      </c>
      <c r="C2" s="155"/>
      <c r="D2" s="155"/>
      <c r="E2" s="155"/>
      <c r="F2" s="155"/>
      <c r="G2" s="156"/>
    </row>
    <row r="3" spans="1:7" x14ac:dyDescent="0.25">
      <c r="A3" s="8"/>
      <c r="B3" s="157"/>
      <c r="C3" s="158"/>
      <c r="D3" s="158"/>
      <c r="E3" s="158"/>
      <c r="F3" s="158"/>
      <c r="G3" s="159"/>
    </row>
    <row r="4" spans="1:7" x14ac:dyDescent="0.25">
      <c r="A4" s="9"/>
      <c r="B4" s="157"/>
      <c r="C4" s="158"/>
      <c r="D4" s="158"/>
      <c r="E4" s="158"/>
      <c r="F4" s="158"/>
      <c r="G4" s="159"/>
    </row>
    <row r="5" spans="1:7" ht="15" customHeight="1" x14ac:dyDescent="0.25">
      <c r="B5" s="157"/>
      <c r="C5" s="158"/>
      <c r="D5" s="158"/>
      <c r="E5" s="158"/>
      <c r="F5" s="158"/>
      <c r="G5" s="159"/>
    </row>
    <row r="6" spans="1:7" x14ac:dyDescent="0.25">
      <c r="B6" s="157"/>
      <c r="C6" s="158"/>
      <c r="D6" s="158"/>
      <c r="E6" s="158"/>
      <c r="F6" s="158"/>
      <c r="G6" s="159"/>
    </row>
    <row r="7" spans="1:7" ht="15" customHeight="1" x14ac:dyDescent="0.25">
      <c r="B7" s="157"/>
      <c r="C7" s="158"/>
      <c r="D7" s="158"/>
      <c r="E7" s="158"/>
      <c r="F7" s="158"/>
      <c r="G7" s="159"/>
    </row>
    <row r="8" spans="1:7" ht="15" customHeight="1" x14ac:dyDescent="0.25">
      <c r="B8" s="157"/>
      <c r="C8" s="158"/>
      <c r="D8" s="158"/>
      <c r="E8" s="158"/>
      <c r="F8" s="158"/>
      <c r="G8" s="159"/>
    </row>
    <row r="9" spans="1:7" ht="15.75" thickBot="1" x14ac:dyDescent="0.3">
      <c r="B9" s="160"/>
      <c r="C9" s="161"/>
      <c r="D9" s="161"/>
      <c r="E9" s="161"/>
      <c r="F9" s="161"/>
      <c r="G9" s="162"/>
    </row>
    <row r="10" spans="1:7" ht="15.75" thickBot="1" x14ac:dyDescent="0.3">
      <c r="B10" s="10"/>
      <c r="C10" s="10"/>
      <c r="D10" s="10"/>
      <c r="E10" s="10"/>
      <c r="F10" s="10"/>
      <c r="G10" s="10"/>
    </row>
    <row r="11" spans="1:7" ht="15" customHeight="1" x14ac:dyDescent="0.25">
      <c r="B11" s="11" t="s">
        <v>23</v>
      </c>
      <c r="C11" s="12">
        <v>-18900</v>
      </c>
      <c r="E11" s="163" t="s">
        <v>24</v>
      </c>
      <c r="F11" s="164"/>
      <c r="G11" s="165"/>
    </row>
    <row r="12" spans="1:7" x14ac:dyDescent="0.25">
      <c r="B12" s="11" t="s">
        <v>25</v>
      </c>
      <c r="C12" s="13">
        <v>48</v>
      </c>
      <c r="E12" s="14" t="s">
        <v>26</v>
      </c>
      <c r="F12" s="15"/>
      <c r="G12" s="16">
        <f>SUM(C20:C67)</f>
        <v>21514.205297095996</v>
      </c>
    </row>
    <row r="13" spans="1:7" x14ac:dyDescent="0.25">
      <c r="B13" s="11" t="s">
        <v>27</v>
      </c>
      <c r="C13" s="17">
        <v>6.5000000000000002E-2</v>
      </c>
      <c r="E13" s="14" t="s">
        <v>28</v>
      </c>
      <c r="F13" s="15"/>
      <c r="G13" s="16">
        <f>SUM(D20:D67)</f>
        <v>2614.2052970959912</v>
      </c>
    </row>
    <row r="14" spans="1:7" ht="15" customHeight="1" x14ac:dyDescent="0.25">
      <c r="B14" s="11"/>
      <c r="C14" s="13"/>
      <c r="E14" s="14" t="s">
        <v>29</v>
      </c>
      <c r="F14" s="18"/>
      <c r="G14" s="16">
        <f>F19+G13</f>
        <v>21514.205297095992</v>
      </c>
    </row>
    <row r="15" spans="1:7" ht="15.75" thickBot="1" x14ac:dyDescent="0.3">
      <c r="B15" s="11" t="s">
        <v>30</v>
      </c>
      <c r="C15" s="19">
        <f>PMT(C13/12,C12,18900)</f>
        <v>-448.21261035616646</v>
      </c>
      <c r="E15" s="20" t="s">
        <v>31</v>
      </c>
      <c r="F15" s="21"/>
      <c r="G15" s="22"/>
    </row>
    <row r="17" spans="2:6" ht="15" customHeight="1" thickBot="1" x14ac:dyDescent="0.3"/>
    <row r="18" spans="2:6" x14ac:dyDescent="0.25">
      <c r="B18" s="23" t="s">
        <v>32</v>
      </c>
      <c r="C18" s="24" t="s">
        <v>30</v>
      </c>
      <c r="D18" s="24" t="s">
        <v>33</v>
      </c>
      <c r="E18" s="24" t="s">
        <v>34</v>
      </c>
      <c r="F18" s="25" t="s">
        <v>35</v>
      </c>
    </row>
    <row r="19" spans="2:6" x14ac:dyDescent="0.25">
      <c r="B19" s="26">
        <v>0</v>
      </c>
      <c r="C19" s="27"/>
      <c r="D19" s="27"/>
      <c r="E19" s="27"/>
      <c r="F19" s="28">
        <f>-C11</f>
        <v>18900</v>
      </c>
    </row>
    <row r="20" spans="2:6" x14ac:dyDescent="0.25">
      <c r="B20" s="29">
        <v>1</v>
      </c>
      <c r="C20" s="30">
        <f>ABS($C$15)</f>
        <v>448.21261035616646</v>
      </c>
      <c r="D20" s="31">
        <f>IPMT($C$13/12,B20,$C$12,$C$11)</f>
        <v>102.375</v>
      </c>
      <c r="E20" s="31">
        <f>PPMT($C$13/12,B20,$C$12,$C$11)</f>
        <v>345.83761035616641</v>
      </c>
      <c r="F20" s="16">
        <f>F19-E20</f>
        <v>18554.162389643832</v>
      </c>
    </row>
    <row r="21" spans="2:6" ht="15" customHeight="1" x14ac:dyDescent="0.25">
      <c r="B21" s="29">
        <v>2</v>
      </c>
      <c r="C21" s="30">
        <f t="shared" ref="C21:C67" si="0">ABS($C$15)</f>
        <v>448.21261035616646</v>
      </c>
      <c r="D21" s="31">
        <f t="shared" ref="D21:D67" si="1">IPMT($C$13/12,B21,$C$12,$C$11)</f>
        <v>100.50171294390411</v>
      </c>
      <c r="E21" s="31">
        <f t="shared" ref="E21:E67" si="2">PPMT($C$13/12,B21,$C$12,$C$11)</f>
        <v>347.71089741226234</v>
      </c>
      <c r="F21" s="16">
        <f t="shared" ref="F21:F67" si="3">F20-E21</f>
        <v>18206.451492231568</v>
      </c>
    </row>
    <row r="22" spans="2:6" x14ac:dyDescent="0.25">
      <c r="B22" s="29">
        <v>3</v>
      </c>
      <c r="C22" s="30">
        <f t="shared" si="0"/>
        <v>448.21261035616646</v>
      </c>
      <c r="D22" s="31">
        <f t="shared" si="1"/>
        <v>98.618278916254354</v>
      </c>
      <c r="E22" s="31">
        <f t="shared" si="2"/>
        <v>349.59433143991208</v>
      </c>
      <c r="F22" s="16">
        <f t="shared" si="3"/>
        <v>17856.857160791656</v>
      </c>
    </row>
    <row r="23" spans="2:6" x14ac:dyDescent="0.25">
      <c r="B23" s="29">
        <v>4</v>
      </c>
      <c r="C23" s="30">
        <f t="shared" si="0"/>
        <v>448.21261035616646</v>
      </c>
      <c r="D23" s="31">
        <f t="shared" si="1"/>
        <v>96.724642954288157</v>
      </c>
      <c r="E23" s="31">
        <f t="shared" si="2"/>
        <v>351.48796740187834</v>
      </c>
      <c r="F23" s="16">
        <f t="shared" si="3"/>
        <v>17505.369193389779</v>
      </c>
    </row>
    <row r="24" spans="2:6" ht="15" customHeight="1" x14ac:dyDescent="0.25">
      <c r="B24" s="29">
        <v>5</v>
      </c>
      <c r="C24" s="30">
        <f t="shared" si="0"/>
        <v>448.21261035616646</v>
      </c>
      <c r="D24" s="31">
        <f t="shared" si="1"/>
        <v>94.820749797527995</v>
      </c>
      <c r="E24" s="31">
        <f t="shared" si="2"/>
        <v>353.39186055863843</v>
      </c>
      <c r="F24" s="16">
        <f t="shared" si="3"/>
        <v>17151.977332831142</v>
      </c>
    </row>
    <row r="25" spans="2:6" x14ac:dyDescent="0.25">
      <c r="B25" s="29">
        <v>6</v>
      </c>
      <c r="C25" s="30">
        <f t="shared" si="0"/>
        <v>448.21261035616646</v>
      </c>
      <c r="D25" s="31">
        <f t="shared" si="1"/>
        <v>92.906543886168691</v>
      </c>
      <c r="E25" s="31">
        <f t="shared" si="2"/>
        <v>355.30606646999775</v>
      </c>
      <c r="F25" s="16">
        <f t="shared" si="3"/>
        <v>16796.671266361143</v>
      </c>
    </row>
    <row r="26" spans="2:6" x14ac:dyDescent="0.25">
      <c r="B26" s="29">
        <v>7</v>
      </c>
      <c r="C26" s="30">
        <f t="shared" si="0"/>
        <v>448.21261035616646</v>
      </c>
      <c r="D26" s="31">
        <f t="shared" si="1"/>
        <v>90.981969359456201</v>
      </c>
      <c r="E26" s="31">
        <f t="shared" si="2"/>
        <v>357.23064099671018</v>
      </c>
      <c r="F26" s="16">
        <f t="shared" si="3"/>
        <v>16439.440625364434</v>
      </c>
    </row>
    <row r="27" spans="2:6" x14ac:dyDescent="0.25">
      <c r="B27" s="29">
        <v>8</v>
      </c>
      <c r="C27" s="30">
        <f t="shared" si="0"/>
        <v>448.21261035616646</v>
      </c>
      <c r="D27" s="31">
        <f t="shared" si="1"/>
        <v>89.046970054057354</v>
      </c>
      <c r="E27" s="31">
        <f t="shared" si="2"/>
        <v>359.16564030210907</v>
      </c>
      <c r="F27" s="16">
        <f t="shared" si="3"/>
        <v>16080.274985062324</v>
      </c>
    </row>
    <row r="28" spans="2:6" x14ac:dyDescent="0.25">
      <c r="B28" s="29">
        <v>9</v>
      </c>
      <c r="C28" s="30">
        <f t="shared" si="0"/>
        <v>448.21261035616646</v>
      </c>
      <c r="D28" s="31">
        <f t="shared" si="1"/>
        <v>87.101489502420947</v>
      </c>
      <c r="E28" s="31">
        <f t="shared" si="2"/>
        <v>361.11112085374555</v>
      </c>
      <c r="F28" s="16">
        <f t="shared" si="3"/>
        <v>15719.163864208578</v>
      </c>
    </row>
    <row r="29" spans="2:6" x14ac:dyDescent="0.25">
      <c r="B29" s="29">
        <v>10</v>
      </c>
      <c r="C29" s="30">
        <f t="shared" si="0"/>
        <v>448.21261035616646</v>
      </c>
      <c r="D29" s="31">
        <f t="shared" si="1"/>
        <v>85.145470931129822</v>
      </c>
      <c r="E29" s="31">
        <f t="shared" si="2"/>
        <v>363.06713942503666</v>
      </c>
      <c r="F29" s="16">
        <f t="shared" si="3"/>
        <v>15356.096724783542</v>
      </c>
    </row>
    <row r="30" spans="2:6" ht="15" customHeight="1" x14ac:dyDescent="0.25">
      <c r="B30" s="29">
        <v>11</v>
      </c>
      <c r="C30" s="30">
        <f t="shared" si="0"/>
        <v>448.21261035616646</v>
      </c>
      <c r="D30" s="31">
        <f t="shared" si="1"/>
        <v>83.178857259244197</v>
      </c>
      <c r="E30" s="31">
        <f t="shared" si="2"/>
        <v>365.03375309692223</v>
      </c>
      <c r="F30" s="16">
        <f t="shared" si="3"/>
        <v>14991.062971686619</v>
      </c>
    </row>
    <row r="31" spans="2:6" x14ac:dyDescent="0.25">
      <c r="B31" s="29">
        <v>12</v>
      </c>
      <c r="C31" s="30">
        <f t="shared" si="0"/>
        <v>448.21261035616646</v>
      </c>
      <c r="D31" s="31">
        <f t="shared" si="1"/>
        <v>81.20159109663588</v>
      </c>
      <c r="E31" s="31">
        <f t="shared" si="2"/>
        <v>367.01101925953054</v>
      </c>
      <c r="F31" s="16">
        <f t="shared" si="3"/>
        <v>14624.051952427088</v>
      </c>
    </row>
    <row r="32" spans="2:6" x14ac:dyDescent="0.25">
      <c r="B32" s="29">
        <v>13</v>
      </c>
      <c r="C32" s="30">
        <f t="shared" si="0"/>
        <v>448.21261035616646</v>
      </c>
      <c r="D32" s="31">
        <f t="shared" si="1"/>
        <v>79.21361474231341</v>
      </c>
      <c r="E32" s="31">
        <f t="shared" si="2"/>
        <v>368.99899561385303</v>
      </c>
      <c r="F32" s="16">
        <f t="shared" si="3"/>
        <v>14255.052956813235</v>
      </c>
    </row>
    <row r="33" spans="2:6" ht="15" customHeight="1" x14ac:dyDescent="0.25">
      <c r="B33" s="29">
        <v>14</v>
      </c>
      <c r="C33" s="30">
        <f t="shared" si="0"/>
        <v>448.21261035616646</v>
      </c>
      <c r="D33" s="31">
        <f t="shared" si="1"/>
        <v>77.21487018273838</v>
      </c>
      <c r="E33" s="31">
        <f t="shared" si="2"/>
        <v>370.9977401734281</v>
      </c>
      <c r="F33" s="16">
        <f t="shared" si="3"/>
        <v>13884.055216639807</v>
      </c>
    </row>
    <row r="34" spans="2:6" x14ac:dyDescent="0.25">
      <c r="B34" s="29">
        <v>15</v>
      </c>
      <c r="C34" s="30">
        <f t="shared" si="0"/>
        <v>448.21261035616646</v>
      </c>
      <c r="D34" s="31">
        <f t="shared" si="1"/>
        <v>75.205299090132314</v>
      </c>
      <c r="E34" s="31">
        <f t="shared" si="2"/>
        <v>373.00731126603415</v>
      </c>
      <c r="F34" s="16">
        <f t="shared" si="3"/>
        <v>13511.047905373773</v>
      </c>
    </row>
    <row r="35" spans="2:6" x14ac:dyDescent="0.25">
      <c r="B35" s="29">
        <v>16</v>
      </c>
      <c r="C35" s="30">
        <f t="shared" si="0"/>
        <v>448.21261035616646</v>
      </c>
      <c r="D35" s="31">
        <f t="shared" si="1"/>
        <v>73.184842820774634</v>
      </c>
      <c r="E35" s="31">
        <f t="shared" si="2"/>
        <v>375.02776753539183</v>
      </c>
      <c r="F35" s="16">
        <f t="shared" si="3"/>
        <v>13136.020137838381</v>
      </c>
    </row>
    <row r="36" spans="2:6" ht="15" customHeight="1" x14ac:dyDescent="0.25">
      <c r="B36" s="29">
        <v>17</v>
      </c>
      <c r="C36" s="30">
        <f t="shared" si="0"/>
        <v>448.21261035616646</v>
      </c>
      <c r="D36" s="31">
        <f t="shared" si="1"/>
        <v>71.153442413291259</v>
      </c>
      <c r="E36" s="31">
        <f t="shared" si="2"/>
        <v>377.05916794287521</v>
      </c>
      <c r="F36" s="16">
        <f t="shared" si="3"/>
        <v>12758.960969895506</v>
      </c>
    </row>
    <row r="37" spans="2:6" x14ac:dyDescent="0.25">
      <c r="B37" s="29">
        <v>18</v>
      </c>
      <c r="C37" s="30">
        <f t="shared" si="0"/>
        <v>448.21261035616646</v>
      </c>
      <c r="D37" s="31">
        <f t="shared" si="1"/>
        <v>69.111038586934015</v>
      </c>
      <c r="E37" s="31">
        <f t="shared" si="2"/>
        <v>379.10157176923241</v>
      </c>
      <c r="F37" s="16">
        <f t="shared" si="3"/>
        <v>12379.859398126275</v>
      </c>
    </row>
    <row r="38" spans="2:6" x14ac:dyDescent="0.25">
      <c r="B38" s="29">
        <v>19</v>
      </c>
      <c r="C38" s="30">
        <f t="shared" si="0"/>
        <v>448.21261035616646</v>
      </c>
      <c r="D38" s="31">
        <f t="shared" si="1"/>
        <v>67.057571739850673</v>
      </c>
      <c r="E38" s="31">
        <f t="shared" si="2"/>
        <v>381.15503861631578</v>
      </c>
      <c r="F38" s="16">
        <f t="shared" si="3"/>
        <v>11998.704359509959</v>
      </c>
    </row>
    <row r="39" spans="2:6" ht="15" customHeight="1" x14ac:dyDescent="0.25">
      <c r="B39" s="29">
        <v>20</v>
      </c>
      <c r="C39" s="30">
        <f t="shared" si="0"/>
        <v>448.21261035616646</v>
      </c>
      <c r="D39" s="31">
        <f t="shared" si="1"/>
        <v>64.992981947345626</v>
      </c>
      <c r="E39" s="31">
        <f t="shared" si="2"/>
        <v>383.21962840882077</v>
      </c>
      <c r="F39" s="16">
        <f t="shared" si="3"/>
        <v>11615.484731101138</v>
      </c>
    </row>
    <row r="40" spans="2:6" x14ac:dyDescent="0.25">
      <c r="B40" s="29">
        <v>21</v>
      </c>
      <c r="C40" s="30">
        <f t="shared" si="0"/>
        <v>448.21261035616646</v>
      </c>
      <c r="D40" s="31">
        <f t="shared" si="1"/>
        <v>62.917208960131184</v>
      </c>
      <c r="E40" s="31">
        <f t="shared" si="2"/>
        <v>385.29540139603529</v>
      </c>
      <c r="F40" s="16">
        <f t="shared" si="3"/>
        <v>11230.189329705103</v>
      </c>
    </row>
    <row r="41" spans="2:6" x14ac:dyDescent="0.25">
      <c r="B41" s="29">
        <v>22</v>
      </c>
      <c r="C41" s="30">
        <f t="shared" si="0"/>
        <v>448.21261035616646</v>
      </c>
      <c r="D41" s="31">
        <f t="shared" si="1"/>
        <v>60.830192202569322</v>
      </c>
      <c r="E41" s="31">
        <f t="shared" si="2"/>
        <v>387.38241815359709</v>
      </c>
      <c r="F41" s="16">
        <f t="shared" si="3"/>
        <v>10842.806911551506</v>
      </c>
    </row>
    <row r="42" spans="2:6" x14ac:dyDescent="0.25">
      <c r="B42" s="29">
        <v>23</v>
      </c>
      <c r="C42" s="30">
        <f t="shared" si="0"/>
        <v>448.21261035616646</v>
      </c>
      <c r="D42" s="31">
        <f t="shared" si="1"/>
        <v>58.731870770904003</v>
      </c>
      <c r="E42" s="31">
        <f t="shared" si="2"/>
        <v>389.48073958526243</v>
      </c>
      <c r="F42" s="16">
        <f t="shared" si="3"/>
        <v>10453.326171966244</v>
      </c>
    </row>
    <row r="43" spans="2:6" x14ac:dyDescent="0.25">
      <c r="B43" s="29">
        <v>24</v>
      </c>
      <c r="C43" s="30">
        <f t="shared" si="0"/>
        <v>448.21261035616646</v>
      </c>
      <c r="D43" s="31">
        <f t="shared" si="1"/>
        <v>56.622183431483833</v>
      </c>
      <c r="E43" s="31">
        <f t="shared" si="2"/>
        <v>391.59042692468267</v>
      </c>
      <c r="F43" s="16">
        <f t="shared" si="3"/>
        <v>10061.735745041562</v>
      </c>
    </row>
    <row r="44" spans="2:6" x14ac:dyDescent="0.25">
      <c r="B44" s="29">
        <v>25</v>
      </c>
      <c r="C44" s="30">
        <f t="shared" si="0"/>
        <v>448.21261035616646</v>
      </c>
      <c r="D44" s="31">
        <f t="shared" si="1"/>
        <v>54.501068618975133</v>
      </c>
      <c r="E44" s="31">
        <f t="shared" si="2"/>
        <v>393.71154173719134</v>
      </c>
      <c r="F44" s="16">
        <f t="shared" si="3"/>
        <v>9668.0242033043705</v>
      </c>
    </row>
    <row r="45" spans="2:6" ht="15" customHeight="1" x14ac:dyDescent="0.25">
      <c r="B45" s="29">
        <v>26</v>
      </c>
      <c r="C45" s="30">
        <f t="shared" si="0"/>
        <v>448.21261035616646</v>
      </c>
      <c r="D45" s="31">
        <f t="shared" si="1"/>
        <v>52.368464434565354</v>
      </c>
      <c r="E45" s="31">
        <f t="shared" si="2"/>
        <v>395.84414592160107</v>
      </c>
      <c r="F45" s="16">
        <f t="shared" si="3"/>
        <v>9272.1800573827695</v>
      </c>
    </row>
    <row r="46" spans="2:6" x14ac:dyDescent="0.25">
      <c r="B46" s="29">
        <v>27</v>
      </c>
      <c r="C46" s="30">
        <f t="shared" si="0"/>
        <v>448.21261035616646</v>
      </c>
      <c r="D46" s="31">
        <f t="shared" si="1"/>
        <v>50.224308644156679</v>
      </c>
      <c r="E46" s="31">
        <f t="shared" si="2"/>
        <v>397.98830171200973</v>
      </c>
      <c r="F46" s="16">
        <f t="shared" si="3"/>
        <v>8874.1917556707594</v>
      </c>
    </row>
    <row r="47" spans="2:6" x14ac:dyDescent="0.25">
      <c r="B47" s="29">
        <v>28</v>
      </c>
      <c r="C47" s="30">
        <f t="shared" si="0"/>
        <v>448.21261035616646</v>
      </c>
      <c r="D47" s="31">
        <f t="shared" si="1"/>
        <v>48.068538676549949</v>
      </c>
      <c r="E47" s="31">
        <f t="shared" si="2"/>
        <v>400.14407167961656</v>
      </c>
      <c r="F47" s="16">
        <f t="shared" si="3"/>
        <v>8474.0476839911425</v>
      </c>
    </row>
    <row r="48" spans="2:6" ht="15" customHeight="1" x14ac:dyDescent="0.25">
      <c r="B48" s="29">
        <v>29</v>
      </c>
      <c r="C48" s="30">
        <f t="shared" si="0"/>
        <v>448.21261035616646</v>
      </c>
      <c r="D48" s="31">
        <f t="shared" si="1"/>
        <v>45.901091621618697</v>
      </c>
      <c r="E48" s="31">
        <f t="shared" si="2"/>
        <v>402.31151873454775</v>
      </c>
      <c r="F48" s="16">
        <f t="shared" si="3"/>
        <v>8071.7361652565951</v>
      </c>
    </row>
    <row r="49" spans="2:6" x14ac:dyDescent="0.25">
      <c r="B49" s="29">
        <v>30</v>
      </c>
      <c r="C49" s="30">
        <f t="shared" si="0"/>
        <v>448.21261035616646</v>
      </c>
      <c r="D49" s="31">
        <f t="shared" si="1"/>
        <v>43.721904228473228</v>
      </c>
      <c r="E49" s="31">
        <f t="shared" si="2"/>
        <v>404.49070612769316</v>
      </c>
      <c r="F49" s="16">
        <f t="shared" si="3"/>
        <v>7667.2454591289015</v>
      </c>
    </row>
    <row r="50" spans="2:6" x14ac:dyDescent="0.25">
      <c r="B50" s="29">
        <v>31</v>
      </c>
      <c r="C50" s="30">
        <f t="shared" si="0"/>
        <v>448.21261035616646</v>
      </c>
      <c r="D50" s="31">
        <f t="shared" si="1"/>
        <v>41.530912903614897</v>
      </c>
      <c r="E50" s="31">
        <f t="shared" si="2"/>
        <v>406.68169745255159</v>
      </c>
      <c r="F50" s="16">
        <f t="shared" si="3"/>
        <v>7260.5637616763497</v>
      </c>
    </row>
    <row r="51" spans="2:6" ht="15" customHeight="1" x14ac:dyDescent="0.25">
      <c r="B51" s="29">
        <v>32</v>
      </c>
      <c r="C51" s="30">
        <f t="shared" si="0"/>
        <v>448.21261035616646</v>
      </c>
      <c r="D51" s="31">
        <f t="shared" si="1"/>
        <v>39.328053709080237</v>
      </c>
      <c r="E51" s="31">
        <f t="shared" si="2"/>
        <v>408.88455664708619</v>
      </c>
      <c r="F51" s="16">
        <f t="shared" si="3"/>
        <v>6851.6792050292634</v>
      </c>
    </row>
    <row r="52" spans="2:6" x14ac:dyDescent="0.25">
      <c r="B52" s="29">
        <v>33</v>
      </c>
      <c r="C52" s="30">
        <f t="shared" si="0"/>
        <v>448.21261035616646</v>
      </c>
      <c r="D52" s="31">
        <f t="shared" si="1"/>
        <v>37.113262360575185</v>
      </c>
      <c r="E52" s="31">
        <f t="shared" si="2"/>
        <v>411.0993479955913</v>
      </c>
      <c r="F52" s="16">
        <f t="shared" si="3"/>
        <v>6440.5798570336719</v>
      </c>
    </row>
    <row r="53" spans="2:6" x14ac:dyDescent="0.25">
      <c r="B53" s="29">
        <v>34</v>
      </c>
      <c r="C53" s="30">
        <f t="shared" si="0"/>
        <v>448.21261035616646</v>
      </c>
      <c r="D53" s="31">
        <f t="shared" si="1"/>
        <v>34.886474225599059</v>
      </c>
      <c r="E53" s="31">
        <f t="shared" si="2"/>
        <v>413.32613613056736</v>
      </c>
      <c r="F53" s="16">
        <f t="shared" si="3"/>
        <v>6027.2537209031043</v>
      </c>
    </row>
    <row r="54" spans="2:6" x14ac:dyDescent="0.25">
      <c r="B54" s="29">
        <v>35</v>
      </c>
      <c r="C54" s="30">
        <f t="shared" si="0"/>
        <v>448.21261035616646</v>
      </c>
      <c r="D54" s="31">
        <f t="shared" si="1"/>
        <v>32.647624321558496</v>
      </c>
      <c r="E54" s="31">
        <f t="shared" si="2"/>
        <v>415.56498603460801</v>
      </c>
      <c r="F54" s="16">
        <f t="shared" si="3"/>
        <v>5611.6887348684959</v>
      </c>
    </row>
    <row r="55" spans="2:6" ht="14.25" customHeight="1" x14ac:dyDescent="0.25">
      <c r="B55" s="29">
        <v>36</v>
      </c>
      <c r="C55" s="30">
        <f t="shared" si="0"/>
        <v>448.21261035616646</v>
      </c>
      <c r="D55" s="31">
        <f t="shared" si="1"/>
        <v>30.396647313871032</v>
      </c>
      <c r="E55" s="31">
        <f t="shared" si="2"/>
        <v>417.81596304229544</v>
      </c>
      <c r="F55" s="16">
        <f t="shared" si="3"/>
        <v>5193.8727718262007</v>
      </c>
    </row>
    <row r="56" spans="2:6" x14ac:dyDescent="0.25">
      <c r="B56" s="29">
        <v>37</v>
      </c>
      <c r="C56" s="30">
        <f t="shared" si="0"/>
        <v>448.21261035616646</v>
      </c>
      <c r="D56" s="31">
        <f t="shared" si="1"/>
        <v>28.133477514058598</v>
      </c>
      <c r="E56" s="31">
        <f t="shared" si="2"/>
        <v>420.07913284210781</v>
      </c>
      <c r="F56" s="16">
        <f t="shared" si="3"/>
        <v>4773.7936389840925</v>
      </c>
    </row>
    <row r="57" spans="2:6" ht="15" customHeight="1" x14ac:dyDescent="0.25">
      <c r="B57" s="29">
        <v>38</v>
      </c>
      <c r="C57" s="30">
        <f t="shared" si="0"/>
        <v>448.21261035616646</v>
      </c>
      <c r="D57" s="31">
        <f t="shared" si="1"/>
        <v>25.858048877830512</v>
      </c>
      <c r="E57" s="31">
        <f t="shared" si="2"/>
        <v>422.35456147833594</v>
      </c>
      <c r="F57" s="16">
        <f t="shared" si="3"/>
        <v>4351.4390775057564</v>
      </c>
    </row>
    <row r="58" spans="2:6" x14ac:dyDescent="0.25">
      <c r="B58" s="29">
        <v>39</v>
      </c>
      <c r="C58" s="30">
        <f t="shared" si="0"/>
        <v>448.21261035616646</v>
      </c>
      <c r="D58" s="31">
        <f t="shared" si="1"/>
        <v>23.57029500315619</v>
      </c>
      <c r="E58" s="31">
        <f t="shared" si="2"/>
        <v>424.6423153530103</v>
      </c>
      <c r="F58" s="16">
        <f t="shared" si="3"/>
        <v>3926.7967621527459</v>
      </c>
    </row>
    <row r="59" spans="2:6" x14ac:dyDescent="0.25">
      <c r="B59" s="29">
        <v>40</v>
      </c>
      <c r="C59" s="30">
        <f t="shared" si="0"/>
        <v>448.21261035616646</v>
      </c>
      <c r="D59" s="31">
        <f t="shared" si="1"/>
        <v>21.270149128327386</v>
      </c>
      <c r="E59" s="31">
        <f t="shared" si="2"/>
        <v>426.94246122783903</v>
      </c>
      <c r="F59" s="16">
        <f t="shared" si="3"/>
        <v>3499.854300924907</v>
      </c>
    </row>
    <row r="60" spans="2:6" x14ac:dyDescent="0.25">
      <c r="B60" s="29">
        <v>41</v>
      </c>
      <c r="C60" s="30">
        <f t="shared" si="0"/>
        <v>448.21261035616646</v>
      </c>
      <c r="D60" s="31">
        <f t="shared" si="1"/>
        <v>18.957544130009925</v>
      </c>
      <c r="E60" s="31">
        <f t="shared" si="2"/>
        <v>429.25506622615649</v>
      </c>
      <c r="F60" s="16">
        <f t="shared" si="3"/>
        <v>3070.5992346987505</v>
      </c>
    </row>
    <row r="61" spans="2:6" x14ac:dyDescent="0.25">
      <c r="B61" s="29">
        <v>42</v>
      </c>
      <c r="C61" s="30">
        <f t="shared" si="0"/>
        <v>448.21261035616646</v>
      </c>
      <c r="D61" s="31">
        <f t="shared" si="1"/>
        <v>16.632412521284913</v>
      </c>
      <c r="E61" s="31">
        <f t="shared" si="2"/>
        <v>431.58019783488146</v>
      </c>
      <c r="F61" s="16">
        <f t="shared" si="3"/>
        <v>2639.0190368638691</v>
      </c>
    </row>
    <row r="62" spans="2:6" x14ac:dyDescent="0.25">
      <c r="B62" s="29">
        <v>43</v>
      </c>
      <c r="C62" s="30">
        <f t="shared" si="0"/>
        <v>448.21261035616646</v>
      </c>
      <c r="D62" s="31">
        <f t="shared" si="1"/>
        <v>14.294686449679302</v>
      </c>
      <c r="E62" s="31">
        <f t="shared" si="2"/>
        <v>433.91792390648715</v>
      </c>
      <c r="F62" s="16">
        <f t="shared" si="3"/>
        <v>2205.1011129573822</v>
      </c>
    </row>
    <row r="63" spans="2:6" ht="15" customHeight="1" x14ac:dyDescent="0.25">
      <c r="B63" s="29">
        <v>44</v>
      </c>
      <c r="C63" s="30">
        <f t="shared" si="0"/>
        <v>448.21261035616646</v>
      </c>
      <c r="D63" s="31">
        <f t="shared" si="1"/>
        <v>11.944297695185828</v>
      </c>
      <c r="E63" s="31">
        <f t="shared" si="2"/>
        <v>436.2683126609806</v>
      </c>
      <c r="F63" s="16">
        <f t="shared" si="3"/>
        <v>1768.8328002964015</v>
      </c>
    </row>
    <row r="64" spans="2:6" x14ac:dyDescent="0.25">
      <c r="B64" s="29">
        <v>45</v>
      </c>
      <c r="C64" s="30">
        <f t="shared" si="0"/>
        <v>448.21261035616646</v>
      </c>
      <c r="D64" s="31">
        <f t="shared" si="1"/>
        <v>9.5811776682721828</v>
      </c>
      <c r="E64" s="31">
        <f t="shared" si="2"/>
        <v>438.63143268789429</v>
      </c>
      <c r="F64" s="16">
        <f t="shared" si="3"/>
        <v>1330.2013676085071</v>
      </c>
    </row>
    <row r="65" spans="2:6" x14ac:dyDescent="0.25">
      <c r="B65" s="29">
        <v>46</v>
      </c>
      <c r="C65" s="30">
        <f t="shared" si="0"/>
        <v>448.21261035616646</v>
      </c>
      <c r="D65" s="31">
        <f t="shared" si="1"/>
        <v>7.2052574078794214</v>
      </c>
      <c r="E65" s="31">
        <f t="shared" si="2"/>
        <v>441.00735294828695</v>
      </c>
      <c r="F65" s="16">
        <f t="shared" si="3"/>
        <v>889.19401466022009</v>
      </c>
    </row>
    <row r="66" spans="2:6" x14ac:dyDescent="0.25">
      <c r="B66" s="29">
        <v>47</v>
      </c>
      <c r="C66" s="30">
        <f t="shared" si="0"/>
        <v>448.21261035616646</v>
      </c>
      <c r="D66" s="31">
        <f t="shared" si="1"/>
        <v>4.8164675794095331</v>
      </c>
      <c r="E66" s="31">
        <f t="shared" si="2"/>
        <v>443.39614277675696</v>
      </c>
      <c r="F66" s="16">
        <f t="shared" si="3"/>
        <v>445.79787188346313</v>
      </c>
    </row>
    <row r="67" spans="2:6" ht="15.75" thickBot="1" x14ac:dyDescent="0.3">
      <c r="B67" s="32">
        <v>48</v>
      </c>
      <c r="C67" s="33">
        <f t="shared" si="0"/>
        <v>448.21261035616646</v>
      </c>
      <c r="D67" s="31">
        <f t="shared" si="1"/>
        <v>2.4147384727020991</v>
      </c>
      <c r="E67" s="31">
        <f t="shared" si="2"/>
        <v>445.79787188346438</v>
      </c>
      <c r="F67" s="16">
        <f t="shared" si="3"/>
        <v>-1.2505552149377763E-12</v>
      </c>
    </row>
    <row r="100" spans="1:1" x14ac:dyDescent="0.25">
      <c r="A100" s="34"/>
    </row>
  </sheetData>
  <mergeCells count="2">
    <mergeCell ref="B2:G9"/>
    <mergeCell ref="E11:G11"/>
  </mergeCells>
  <dataValidations count="1">
    <dataValidation type="list" allowBlank="1" showInputMessage="1" showErrorMessage="1" sqref="G15" xr:uid="{00000000-0002-0000-0200-000000000000}">
      <formula1>"Yes,No"</formula1>
    </dataValidation>
  </dataValidations>
  <pageMargins left="0.7" right="0.7" top="0.75" bottom="0.75" header="0.3" footer="0.3"/>
  <pageSetup paperSize="11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W90"/>
  <sheetViews>
    <sheetView topLeftCell="D30" zoomScaleNormal="100" workbookViewId="0">
      <selection activeCell="R28" sqref="R28:S29"/>
    </sheetView>
  </sheetViews>
  <sheetFormatPr defaultRowHeight="15" x14ac:dyDescent="0.25"/>
  <cols>
    <col min="2" max="2" width="13.42578125" customWidth="1"/>
    <col min="3" max="3" width="17.28515625" customWidth="1"/>
    <col min="4" max="4" width="13.7109375" bestFit="1" customWidth="1"/>
    <col min="5" max="5" width="13.7109375" customWidth="1"/>
    <col min="6" max="6" width="13.5703125" customWidth="1"/>
    <col min="7" max="7" width="9.85546875" bestFit="1" customWidth="1"/>
    <col min="8" max="8" width="8.5703125" bestFit="1" customWidth="1"/>
    <col min="9" max="9" width="12.28515625" bestFit="1" customWidth="1"/>
    <col min="10" max="10" width="16.140625" bestFit="1" customWidth="1"/>
    <col min="11" max="12" width="13.85546875" bestFit="1" customWidth="1"/>
    <col min="13" max="13" width="16.5703125" bestFit="1" customWidth="1"/>
    <col min="14" max="14" width="16.7109375" bestFit="1" customWidth="1"/>
    <col min="15" max="15" width="14.5703125" bestFit="1" customWidth="1"/>
    <col min="16" max="16" width="12.28515625" bestFit="1" customWidth="1"/>
    <col min="18" max="18" width="11.28515625" bestFit="1" customWidth="1"/>
    <col min="19" max="19" width="15.140625" bestFit="1" customWidth="1"/>
    <col min="21" max="21" width="11.85546875" bestFit="1" customWidth="1"/>
  </cols>
  <sheetData>
    <row r="1" spans="2:17" s="18" customFormat="1" ht="15.75" thickBot="1" x14ac:dyDescent="0.3"/>
    <row r="2" spans="2:17" s="18" customFormat="1" ht="15" customHeight="1" x14ac:dyDescent="0.25">
      <c r="B2"/>
      <c r="C2"/>
      <c r="D2" s="166" t="s">
        <v>36</v>
      </c>
      <c r="E2" s="167"/>
      <c r="F2" s="167"/>
      <c r="G2" s="167"/>
      <c r="H2" s="167"/>
      <c r="I2" s="167"/>
      <c r="J2" s="167"/>
      <c r="K2" s="167"/>
      <c r="L2" s="168"/>
      <c r="M2"/>
      <c r="N2"/>
      <c r="O2"/>
    </row>
    <row r="3" spans="2:17" s="18" customFormat="1" x14ac:dyDescent="0.25">
      <c r="B3"/>
      <c r="C3"/>
      <c r="D3" s="169"/>
      <c r="E3" s="170"/>
      <c r="F3" s="170"/>
      <c r="G3" s="170"/>
      <c r="H3" s="170"/>
      <c r="I3" s="170"/>
      <c r="J3" s="170"/>
      <c r="K3" s="170"/>
      <c r="L3" s="171"/>
      <c r="M3"/>
      <c r="N3"/>
      <c r="O3"/>
    </row>
    <row r="4" spans="2:17" s="18" customFormat="1" x14ac:dyDescent="0.25">
      <c r="B4"/>
      <c r="C4"/>
      <c r="D4" s="169"/>
      <c r="E4" s="170"/>
      <c r="F4" s="170"/>
      <c r="G4" s="170"/>
      <c r="H4" s="170"/>
      <c r="I4" s="170"/>
      <c r="J4" s="170"/>
      <c r="K4" s="170"/>
      <c r="L4" s="171"/>
      <c r="M4"/>
      <c r="N4"/>
      <c r="O4"/>
    </row>
    <row r="5" spans="2:17" s="18" customFormat="1" x14ac:dyDescent="0.25">
      <c r="B5"/>
      <c r="C5"/>
      <c r="D5" s="169"/>
      <c r="E5" s="170"/>
      <c r="F5" s="170"/>
      <c r="G5" s="170"/>
      <c r="H5" s="170"/>
      <c r="I5" s="170"/>
      <c r="J5" s="170"/>
      <c r="K5" s="170"/>
      <c r="L5" s="171"/>
      <c r="M5"/>
      <c r="N5"/>
      <c r="O5"/>
    </row>
    <row r="6" spans="2:17" s="18" customFormat="1" x14ac:dyDescent="0.25">
      <c r="B6"/>
      <c r="C6"/>
      <c r="D6" s="169"/>
      <c r="E6" s="170"/>
      <c r="F6" s="170"/>
      <c r="G6" s="170"/>
      <c r="H6" s="170"/>
      <c r="I6" s="170"/>
      <c r="J6" s="170"/>
      <c r="K6" s="170"/>
      <c r="L6" s="171"/>
      <c r="M6"/>
      <c r="N6"/>
      <c r="O6"/>
    </row>
    <row r="7" spans="2:17" s="18" customFormat="1" x14ac:dyDescent="0.25">
      <c r="B7"/>
      <c r="C7"/>
      <c r="D7" s="169"/>
      <c r="E7" s="170"/>
      <c r="F7" s="170"/>
      <c r="G7" s="170"/>
      <c r="H7" s="170"/>
      <c r="I7" s="170"/>
      <c r="J7" s="170"/>
      <c r="K7" s="170"/>
      <c r="L7" s="171"/>
      <c r="M7"/>
      <c r="N7"/>
      <c r="O7"/>
    </row>
    <row r="8" spans="2:17" s="18" customFormat="1" ht="37.5" customHeight="1" thickBot="1" x14ac:dyDescent="0.3">
      <c r="B8"/>
      <c r="C8"/>
      <c r="D8" s="172"/>
      <c r="E8" s="173"/>
      <c r="F8" s="173"/>
      <c r="G8" s="173"/>
      <c r="H8" s="173"/>
      <c r="I8" s="173"/>
      <c r="J8" s="173"/>
      <c r="K8" s="173"/>
      <c r="L8" s="174"/>
      <c r="M8"/>
      <c r="N8"/>
      <c r="O8"/>
    </row>
    <row r="9" spans="2:17" s="18" customFormat="1" ht="15.75" thickBot="1" x14ac:dyDescent="0.3">
      <c r="B9" s="35"/>
      <c r="C9" s="35"/>
      <c r="D9" s="35"/>
      <c r="E9" s="35"/>
      <c r="F9" s="35"/>
      <c r="G9" s="35"/>
      <c r="H9" s="35"/>
      <c r="I9" s="35"/>
      <c r="J9" s="35"/>
      <c r="K9" s="35"/>
      <c r="L9" s="35"/>
      <c r="M9" s="35"/>
      <c r="N9" s="35"/>
      <c r="O9" s="35"/>
    </row>
    <row r="10" spans="2:17" s="18" customFormat="1" x14ac:dyDescent="0.25">
      <c r="B10" s="35"/>
      <c r="C10" s="35"/>
      <c r="D10" s="163" t="s">
        <v>37</v>
      </c>
      <c r="E10" s="164"/>
      <c r="F10" s="164"/>
      <c r="G10" s="164"/>
      <c r="H10" s="165"/>
      <c r="I10"/>
      <c r="J10"/>
      <c r="L10" s="163" t="s">
        <v>38</v>
      </c>
      <c r="M10" s="165"/>
      <c r="N10" s="35"/>
      <c r="O10" s="35"/>
    </row>
    <row r="11" spans="2:17" s="18" customFormat="1" x14ac:dyDescent="0.25">
      <c r="B11" s="35"/>
      <c r="C11" s="35"/>
      <c r="D11" s="14" t="s">
        <v>39</v>
      </c>
      <c r="E11" s="36" t="s">
        <v>40</v>
      </c>
      <c r="F11" s="36" t="s">
        <v>41</v>
      </c>
      <c r="G11" s="36" t="s">
        <v>42</v>
      </c>
      <c r="H11" s="37" t="s">
        <v>43</v>
      </c>
      <c r="I11"/>
      <c r="J11"/>
      <c r="L11" s="38" t="s">
        <v>44</v>
      </c>
      <c r="M11" s="39">
        <v>0.1</v>
      </c>
      <c r="N11" s="35"/>
      <c r="O11" s="35"/>
    </row>
    <row r="12" spans="2:17" s="18" customFormat="1" ht="15.75" thickBot="1" x14ac:dyDescent="0.3">
      <c r="B12" s="35"/>
      <c r="C12" s="35"/>
      <c r="D12" s="20" t="s">
        <v>45</v>
      </c>
      <c r="E12" s="40">
        <v>52</v>
      </c>
      <c r="F12" s="40">
        <v>50</v>
      </c>
      <c r="G12" s="40">
        <v>47</v>
      </c>
      <c r="H12" s="41">
        <v>48</v>
      </c>
      <c r="I12"/>
      <c r="J12"/>
      <c r="L12" s="42" t="s">
        <v>46</v>
      </c>
      <c r="M12" s="43">
        <v>0.1</v>
      </c>
      <c r="N12" s="35"/>
      <c r="O12" s="35"/>
    </row>
    <row r="13" spans="2:17" ht="15.75" thickBot="1" x14ac:dyDescent="0.3"/>
    <row r="14" spans="2:17" x14ac:dyDescent="0.25">
      <c r="B14" s="163" t="s">
        <v>47</v>
      </c>
      <c r="C14" s="164"/>
      <c r="D14" s="164"/>
      <c r="E14" s="164"/>
      <c r="F14" s="164"/>
      <c r="G14" s="164"/>
      <c r="H14" s="164"/>
      <c r="I14" s="164"/>
      <c r="J14" s="164"/>
      <c r="K14" s="164"/>
      <c r="L14" s="164"/>
      <c r="M14" s="164"/>
      <c r="N14" s="164"/>
      <c r="O14" s="165"/>
    </row>
    <row r="15" spans="2:17" x14ac:dyDescent="0.25">
      <c r="B15" s="44" t="s">
        <v>48</v>
      </c>
      <c r="C15" s="45" t="s">
        <v>49</v>
      </c>
      <c r="D15" s="45" t="s">
        <v>39</v>
      </c>
      <c r="E15" s="45" t="s">
        <v>50</v>
      </c>
      <c r="F15" s="45" t="s">
        <v>45</v>
      </c>
      <c r="G15" s="45" t="s">
        <v>51</v>
      </c>
      <c r="H15" s="45" t="s">
        <v>52</v>
      </c>
      <c r="I15" s="45" t="s">
        <v>53</v>
      </c>
      <c r="J15" s="45" t="s">
        <v>54</v>
      </c>
      <c r="K15" s="45" t="s">
        <v>55</v>
      </c>
      <c r="L15" s="45" t="s">
        <v>56</v>
      </c>
      <c r="M15" s="45" t="s">
        <v>57</v>
      </c>
      <c r="N15" s="45" t="s">
        <v>58</v>
      </c>
      <c r="O15" s="46" t="s">
        <v>59</v>
      </c>
      <c r="Q15" s="47"/>
    </row>
    <row r="16" spans="2:17" x14ac:dyDescent="0.25">
      <c r="B16" s="26">
        <v>1</v>
      </c>
      <c r="C16" s="48">
        <v>50</v>
      </c>
      <c r="D16" s="48" t="s">
        <v>40</v>
      </c>
      <c r="E16" s="48">
        <v>54</v>
      </c>
      <c r="F16" s="49">
        <f>IF(D16="Jim",$E$12,IF(D16="Jill",$F$12,IF(D16="Jake",$G$12,IF(D16="Jennifer",$H$12,"NA"))))</f>
        <v>52</v>
      </c>
      <c r="G16" s="48">
        <v>1</v>
      </c>
      <c r="H16" s="48">
        <v>3</v>
      </c>
      <c r="I16" s="49" t="b">
        <f>AND(E16&lt; C16,H16&gt;1)</f>
        <v>0</v>
      </c>
      <c r="J16" s="49" t="b">
        <f>OR(H16&gt;3,G16=3)</f>
        <v>0</v>
      </c>
      <c r="K16" s="50">
        <f>E16*F16</f>
        <v>2808</v>
      </c>
      <c r="L16" s="49">
        <f>IF(I16=TRUE,K16,0)</f>
        <v>0</v>
      </c>
      <c r="M16" s="49">
        <f>IF(J16=TRUE,(K16*$M$12),0)</f>
        <v>0</v>
      </c>
      <c r="N16" s="50">
        <f>SUM(K16:M16)</f>
        <v>2808</v>
      </c>
      <c r="O16" s="51" t="str">
        <f>IF(E16&lt;=C16=TRUE,"Good Job","Too Much Time")</f>
        <v>Too Much Time</v>
      </c>
    </row>
    <row r="17" spans="2:15" x14ac:dyDescent="0.25">
      <c r="B17" s="29">
        <v>2</v>
      </c>
      <c r="C17" s="52">
        <v>40</v>
      </c>
      <c r="D17" s="52" t="s">
        <v>41</v>
      </c>
      <c r="E17" s="52">
        <v>40</v>
      </c>
      <c r="F17" s="49">
        <f t="shared" ref="F17:F35" si="0">IF(D17="Jim",$E$12,IF(D17="Jill",$F$12,IF(D17="Jake",$G$12,IF(D17="Jennifer",$H$12,"NA"))))</f>
        <v>50</v>
      </c>
      <c r="G17" s="52">
        <v>5</v>
      </c>
      <c r="H17" s="52">
        <v>2</v>
      </c>
      <c r="I17" s="49" t="b">
        <f t="shared" ref="I17:I35" si="1">AND(E17&lt; C17,H17&gt;1)</f>
        <v>0</v>
      </c>
      <c r="J17" s="49" t="b">
        <f t="shared" ref="J17:J35" si="2">OR(H17&gt;3,G17=3)</f>
        <v>0</v>
      </c>
      <c r="K17" s="54">
        <f t="shared" ref="K17:K35" si="3">E17*F17</f>
        <v>2000</v>
      </c>
      <c r="L17" s="49">
        <f t="shared" ref="L17:L35" si="4">IF(I17=TRUE,K17,0)</f>
        <v>0</v>
      </c>
      <c r="M17" s="49">
        <f t="shared" ref="M17:M35" si="5">IF(J17=TRUE,(K17*$M$12),0)</f>
        <v>0</v>
      </c>
      <c r="N17" s="54">
        <f t="shared" ref="N17:N35" si="6">SUM(K17:M17)</f>
        <v>2000</v>
      </c>
      <c r="O17" s="51" t="str">
        <f t="shared" ref="O17:O35" si="7">IF(E17&lt;=C17=TRUE,"Good Job","Too Much Time")</f>
        <v>Good Job</v>
      </c>
    </row>
    <row r="18" spans="2:15" x14ac:dyDescent="0.25">
      <c r="B18" s="29">
        <v>3</v>
      </c>
      <c r="C18" s="52">
        <v>80</v>
      </c>
      <c r="D18" s="52" t="s">
        <v>40</v>
      </c>
      <c r="E18" s="52">
        <v>86</v>
      </c>
      <c r="F18" s="49">
        <f t="shared" si="0"/>
        <v>52</v>
      </c>
      <c r="G18" s="52">
        <v>4</v>
      </c>
      <c r="H18" s="52">
        <v>3</v>
      </c>
      <c r="I18" s="49" t="b">
        <f t="shared" si="1"/>
        <v>0</v>
      </c>
      <c r="J18" s="49" t="b">
        <f t="shared" si="2"/>
        <v>0</v>
      </c>
      <c r="K18" s="54">
        <f t="shared" si="3"/>
        <v>4472</v>
      </c>
      <c r="L18" s="49">
        <f t="shared" si="4"/>
        <v>0</v>
      </c>
      <c r="M18" s="49">
        <f t="shared" si="5"/>
        <v>0</v>
      </c>
      <c r="N18" s="54">
        <f t="shared" si="6"/>
        <v>4472</v>
      </c>
      <c r="O18" s="51" t="str">
        <f t="shared" si="7"/>
        <v>Too Much Time</v>
      </c>
    </row>
    <row r="19" spans="2:15" x14ac:dyDescent="0.25">
      <c r="B19" s="29">
        <v>4</v>
      </c>
      <c r="C19" s="52">
        <v>40</v>
      </c>
      <c r="D19" s="52" t="s">
        <v>42</v>
      </c>
      <c r="E19" s="52">
        <v>42</v>
      </c>
      <c r="F19" s="49">
        <f t="shared" si="0"/>
        <v>47</v>
      </c>
      <c r="G19" s="52">
        <v>1</v>
      </c>
      <c r="H19" s="52">
        <v>2</v>
      </c>
      <c r="I19" s="49" t="b">
        <f t="shared" si="1"/>
        <v>0</v>
      </c>
      <c r="J19" s="49" t="b">
        <f t="shared" si="2"/>
        <v>0</v>
      </c>
      <c r="K19" s="54">
        <f t="shared" si="3"/>
        <v>1974</v>
      </c>
      <c r="L19" s="49">
        <f t="shared" si="4"/>
        <v>0</v>
      </c>
      <c r="M19" s="49">
        <f t="shared" si="5"/>
        <v>0</v>
      </c>
      <c r="N19" s="54">
        <f t="shared" si="6"/>
        <v>1974</v>
      </c>
      <c r="O19" s="51" t="str">
        <f t="shared" si="7"/>
        <v>Too Much Time</v>
      </c>
    </row>
    <row r="20" spans="2:15" x14ac:dyDescent="0.25">
      <c r="B20" s="29">
        <v>5</v>
      </c>
      <c r="C20" s="52">
        <v>80</v>
      </c>
      <c r="D20" s="52" t="s">
        <v>40</v>
      </c>
      <c r="E20" s="52">
        <v>78</v>
      </c>
      <c r="F20" s="49">
        <f t="shared" si="0"/>
        <v>52</v>
      </c>
      <c r="G20" s="52">
        <v>3</v>
      </c>
      <c r="H20" s="52">
        <v>1</v>
      </c>
      <c r="I20" s="49" t="b">
        <f t="shared" si="1"/>
        <v>0</v>
      </c>
      <c r="J20" s="49" t="b">
        <f t="shared" si="2"/>
        <v>1</v>
      </c>
      <c r="K20" s="54">
        <f t="shared" si="3"/>
        <v>4056</v>
      </c>
      <c r="L20" s="49">
        <f t="shared" si="4"/>
        <v>0</v>
      </c>
      <c r="M20" s="49">
        <f t="shared" si="5"/>
        <v>405.6</v>
      </c>
      <c r="N20" s="54">
        <f t="shared" si="6"/>
        <v>4461.6000000000004</v>
      </c>
      <c r="O20" s="51" t="str">
        <f t="shared" si="7"/>
        <v>Good Job</v>
      </c>
    </row>
    <row r="21" spans="2:15" x14ac:dyDescent="0.25">
      <c r="B21" s="29">
        <v>6</v>
      </c>
      <c r="C21" s="52">
        <v>40</v>
      </c>
      <c r="D21" s="52" t="s">
        <v>42</v>
      </c>
      <c r="E21" s="52">
        <v>38</v>
      </c>
      <c r="F21" s="49">
        <f t="shared" si="0"/>
        <v>47</v>
      </c>
      <c r="G21" s="52">
        <v>3</v>
      </c>
      <c r="H21" s="52">
        <v>3</v>
      </c>
      <c r="I21" s="49" t="b">
        <f t="shared" si="1"/>
        <v>1</v>
      </c>
      <c r="J21" s="49" t="b">
        <f t="shared" si="2"/>
        <v>1</v>
      </c>
      <c r="K21" s="54">
        <f t="shared" si="3"/>
        <v>1786</v>
      </c>
      <c r="L21" s="49">
        <f t="shared" si="4"/>
        <v>1786</v>
      </c>
      <c r="M21" s="49">
        <f t="shared" si="5"/>
        <v>178.60000000000002</v>
      </c>
      <c r="N21" s="54">
        <f t="shared" si="6"/>
        <v>3750.6</v>
      </c>
      <c r="O21" s="51" t="str">
        <f t="shared" si="7"/>
        <v>Good Job</v>
      </c>
    </row>
    <row r="22" spans="2:15" x14ac:dyDescent="0.25">
      <c r="B22" s="29">
        <v>7</v>
      </c>
      <c r="C22" s="52">
        <v>50</v>
      </c>
      <c r="D22" s="52" t="s">
        <v>40</v>
      </c>
      <c r="E22" s="52">
        <v>51</v>
      </c>
      <c r="F22" s="49">
        <f t="shared" si="0"/>
        <v>52</v>
      </c>
      <c r="G22" s="52">
        <v>3</v>
      </c>
      <c r="H22" s="52">
        <v>3</v>
      </c>
      <c r="I22" s="49" t="b">
        <f t="shared" si="1"/>
        <v>0</v>
      </c>
      <c r="J22" s="49" t="b">
        <f t="shared" si="2"/>
        <v>1</v>
      </c>
      <c r="K22" s="54">
        <f t="shared" si="3"/>
        <v>2652</v>
      </c>
      <c r="L22" s="49">
        <f t="shared" si="4"/>
        <v>0</v>
      </c>
      <c r="M22" s="49">
        <f t="shared" si="5"/>
        <v>265.2</v>
      </c>
      <c r="N22" s="54">
        <f t="shared" si="6"/>
        <v>2917.2</v>
      </c>
      <c r="O22" s="51" t="str">
        <f t="shared" si="7"/>
        <v>Too Much Time</v>
      </c>
    </row>
    <row r="23" spans="2:15" x14ac:dyDescent="0.25">
      <c r="B23" s="29">
        <v>8</v>
      </c>
      <c r="C23" s="52">
        <v>40</v>
      </c>
      <c r="D23" s="52" t="s">
        <v>43</v>
      </c>
      <c r="E23" s="52">
        <v>36</v>
      </c>
      <c r="F23" s="49">
        <f t="shared" si="0"/>
        <v>48</v>
      </c>
      <c r="G23" s="52">
        <v>3</v>
      </c>
      <c r="H23" s="52">
        <v>1</v>
      </c>
      <c r="I23" s="49" t="b">
        <f t="shared" si="1"/>
        <v>0</v>
      </c>
      <c r="J23" s="49" t="b">
        <f t="shared" si="2"/>
        <v>1</v>
      </c>
      <c r="K23" s="54">
        <f t="shared" si="3"/>
        <v>1728</v>
      </c>
      <c r="L23" s="49">
        <f t="shared" si="4"/>
        <v>0</v>
      </c>
      <c r="M23" s="49">
        <f t="shared" si="5"/>
        <v>172.8</v>
      </c>
      <c r="N23" s="54">
        <f t="shared" si="6"/>
        <v>1900.8</v>
      </c>
      <c r="O23" s="51" t="str">
        <f t="shared" si="7"/>
        <v>Good Job</v>
      </c>
    </row>
    <row r="24" spans="2:15" x14ac:dyDescent="0.25">
      <c r="B24" s="29">
        <v>9</v>
      </c>
      <c r="C24" s="52">
        <v>50</v>
      </c>
      <c r="D24" s="52" t="s">
        <v>40</v>
      </c>
      <c r="E24" s="52">
        <v>48</v>
      </c>
      <c r="F24" s="49">
        <f t="shared" si="0"/>
        <v>52</v>
      </c>
      <c r="G24" s="52">
        <v>3</v>
      </c>
      <c r="H24" s="52">
        <v>2</v>
      </c>
      <c r="I24" s="49" t="b">
        <f t="shared" si="1"/>
        <v>1</v>
      </c>
      <c r="J24" s="49" t="b">
        <f t="shared" si="2"/>
        <v>1</v>
      </c>
      <c r="K24" s="54">
        <f t="shared" si="3"/>
        <v>2496</v>
      </c>
      <c r="L24" s="49">
        <f t="shared" si="4"/>
        <v>2496</v>
      </c>
      <c r="M24" s="49">
        <f t="shared" si="5"/>
        <v>249.60000000000002</v>
      </c>
      <c r="N24" s="54">
        <f t="shared" si="6"/>
        <v>5241.6000000000004</v>
      </c>
      <c r="O24" s="51" t="str">
        <f t="shared" si="7"/>
        <v>Good Job</v>
      </c>
    </row>
    <row r="25" spans="2:15" x14ac:dyDescent="0.25">
      <c r="B25" s="29">
        <v>10</v>
      </c>
      <c r="C25" s="52">
        <v>40</v>
      </c>
      <c r="D25" s="52" t="s">
        <v>41</v>
      </c>
      <c r="E25" s="52">
        <v>42</v>
      </c>
      <c r="F25" s="49">
        <f t="shared" si="0"/>
        <v>50</v>
      </c>
      <c r="G25" s="52">
        <v>2</v>
      </c>
      <c r="H25" s="52">
        <v>2</v>
      </c>
      <c r="I25" s="49" t="b">
        <f t="shared" si="1"/>
        <v>0</v>
      </c>
      <c r="J25" s="49" t="b">
        <f t="shared" si="2"/>
        <v>0</v>
      </c>
      <c r="K25" s="54">
        <f t="shared" si="3"/>
        <v>2100</v>
      </c>
      <c r="L25" s="49">
        <f t="shared" si="4"/>
        <v>0</v>
      </c>
      <c r="M25" s="49">
        <f t="shared" si="5"/>
        <v>0</v>
      </c>
      <c r="N25" s="54">
        <f t="shared" si="6"/>
        <v>2100</v>
      </c>
      <c r="O25" s="51" t="str">
        <f t="shared" si="7"/>
        <v>Too Much Time</v>
      </c>
    </row>
    <row r="26" spans="2:15" x14ac:dyDescent="0.25">
      <c r="B26" s="29">
        <v>11</v>
      </c>
      <c r="C26" s="52">
        <v>70</v>
      </c>
      <c r="D26" s="52" t="s">
        <v>42</v>
      </c>
      <c r="E26" s="52">
        <v>74</v>
      </c>
      <c r="F26" s="49">
        <f>IF(D26="Jim",$E$12,IF(D26="Jill",$F$12,IF(D26="Jake",$G$12,IF(D26="Jennifer",$H$12,"NA"))))</f>
        <v>47</v>
      </c>
      <c r="G26" s="52">
        <v>2</v>
      </c>
      <c r="H26" s="52">
        <v>1</v>
      </c>
      <c r="I26" s="49" t="b">
        <f t="shared" si="1"/>
        <v>0</v>
      </c>
      <c r="J26" s="49" t="b">
        <f t="shared" si="2"/>
        <v>0</v>
      </c>
      <c r="K26" s="54">
        <f t="shared" si="3"/>
        <v>3478</v>
      </c>
      <c r="L26" s="49">
        <f t="shared" si="4"/>
        <v>0</v>
      </c>
      <c r="M26" s="49">
        <f t="shared" si="5"/>
        <v>0</v>
      </c>
      <c r="N26" s="54">
        <f t="shared" si="6"/>
        <v>3478</v>
      </c>
      <c r="O26" s="51" t="str">
        <f t="shared" si="7"/>
        <v>Too Much Time</v>
      </c>
    </row>
    <row r="27" spans="2:15" x14ac:dyDescent="0.25">
      <c r="B27" s="29">
        <v>12</v>
      </c>
      <c r="C27" s="52">
        <v>50</v>
      </c>
      <c r="D27" s="52" t="s">
        <v>43</v>
      </c>
      <c r="E27" s="52">
        <v>51</v>
      </c>
      <c r="F27" s="49">
        <f t="shared" si="0"/>
        <v>48</v>
      </c>
      <c r="G27" s="52">
        <v>2</v>
      </c>
      <c r="H27" s="52">
        <v>1</v>
      </c>
      <c r="I27" s="49" t="b">
        <f t="shared" si="1"/>
        <v>0</v>
      </c>
      <c r="J27" s="49" t="b">
        <f t="shared" si="2"/>
        <v>0</v>
      </c>
      <c r="K27" s="54">
        <f t="shared" si="3"/>
        <v>2448</v>
      </c>
      <c r="L27" s="49">
        <f t="shared" si="4"/>
        <v>0</v>
      </c>
      <c r="M27" s="49">
        <f t="shared" si="5"/>
        <v>0</v>
      </c>
      <c r="N27" s="54">
        <f t="shared" si="6"/>
        <v>2448</v>
      </c>
      <c r="O27" s="51" t="str">
        <f t="shared" si="7"/>
        <v>Too Much Time</v>
      </c>
    </row>
    <row r="28" spans="2:15" x14ac:dyDescent="0.25">
      <c r="B28" s="29">
        <v>13</v>
      </c>
      <c r="C28" s="52">
        <v>70</v>
      </c>
      <c r="D28" s="52" t="s">
        <v>43</v>
      </c>
      <c r="E28" s="52">
        <v>70</v>
      </c>
      <c r="F28" s="49">
        <f t="shared" si="0"/>
        <v>48</v>
      </c>
      <c r="G28" s="52">
        <v>2</v>
      </c>
      <c r="H28" s="52">
        <v>1</v>
      </c>
      <c r="I28" s="49" t="b">
        <f t="shared" si="1"/>
        <v>0</v>
      </c>
      <c r="J28" s="49" t="b">
        <f t="shared" si="2"/>
        <v>0</v>
      </c>
      <c r="K28" s="54">
        <f t="shared" si="3"/>
        <v>3360</v>
      </c>
      <c r="L28" s="49">
        <f t="shared" si="4"/>
        <v>0</v>
      </c>
      <c r="M28" s="49">
        <f t="shared" si="5"/>
        <v>0</v>
      </c>
      <c r="N28" s="54">
        <f t="shared" si="6"/>
        <v>3360</v>
      </c>
      <c r="O28" s="51" t="str">
        <f t="shared" si="7"/>
        <v>Good Job</v>
      </c>
    </row>
    <row r="29" spans="2:15" x14ac:dyDescent="0.25">
      <c r="B29" s="29">
        <v>14</v>
      </c>
      <c r="C29" s="52">
        <v>60</v>
      </c>
      <c r="D29" s="52" t="s">
        <v>42</v>
      </c>
      <c r="E29" s="52">
        <v>58</v>
      </c>
      <c r="F29" s="49">
        <f t="shared" si="0"/>
        <v>47</v>
      </c>
      <c r="G29" s="52">
        <v>2</v>
      </c>
      <c r="H29" s="52">
        <v>2</v>
      </c>
      <c r="I29" s="49" t="b">
        <f t="shared" si="1"/>
        <v>1</v>
      </c>
      <c r="J29" s="49" t="b">
        <f t="shared" si="2"/>
        <v>0</v>
      </c>
      <c r="K29" s="54">
        <f t="shared" si="3"/>
        <v>2726</v>
      </c>
      <c r="L29" s="49">
        <f t="shared" si="4"/>
        <v>2726</v>
      </c>
      <c r="M29" s="49">
        <f t="shared" si="5"/>
        <v>0</v>
      </c>
      <c r="N29" s="54">
        <f t="shared" si="6"/>
        <v>5452</v>
      </c>
      <c r="O29" s="51" t="str">
        <f t="shared" si="7"/>
        <v>Good Job</v>
      </c>
    </row>
    <row r="30" spans="2:15" x14ac:dyDescent="0.25">
      <c r="B30" s="29">
        <v>15</v>
      </c>
      <c r="C30" s="52">
        <v>70</v>
      </c>
      <c r="D30" s="52" t="s">
        <v>42</v>
      </c>
      <c r="E30" s="52">
        <v>66</v>
      </c>
      <c r="F30" s="49">
        <f t="shared" si="0"/>
        <v>47</v>
      </c>
      <c r="G30" s="52">
        <v>3</v>
      </c>
      <c r="H30" s="52">
        <v>3</v>
      </c>
      <c r="I30" s="49" t="b">
        <f t="shared" si="1"/>
        <v>1</v>
      </c>
      <c r="J30" s="49" t="b">
        <f t="shared" si="2"/>
        <v>1</v>
      </c>
      <c r="K30" s="54">
        <f t="shared" si="3"/>
        <v>3102</v>
      </c>
      <c r="L30" s="49">
        <f t="shared" si="4"/>
        <v>3102</v>
      </c>
      <c r="M30" s="49">
        <f t="shared" si="5"/>
        <v>310.20000000000005</v>
      </c>
      <c r="N30" s="54">
        <f t="shared" si="6"/>
        <v>6514.2</v>
      </c>
      <c r="O30" s="51" t="str">
        <f t="shared" si="7"/>
        <v>Good Job</v>
      </c>
    </row>
    <row r="31" spans="2:15" x14ac:dyDescent="0.25">
      <c r="B31" s="29">
        <v>16</v>
      </c>
      <c r="C31" s="52">
        <v>50</v>
      </c>
      <c r="D31" s="52" t="s">
        <v>41</v>
      </c>
      <c r="E31" s="52">
        <v>48</v>
      </c>
      <c r="F31" s="49">
        <f t="shared" si="0"/>
        <v>50</v>
      </c>
      <c r="G31" s="52">
        <v>1</v>
      </c>
      <c r="H31" s="52">
        <v>1</v>
      </c>
      <c r="I31" s="49" t="b">
        <f t="shared" si="1"/>
        <v>0</v>
      </c>
      <c r="J31" s="49" t="b">
        <f t="shared" si="2"/>
        <v>0</v>
      </c>
      <c r="K31" s="54">
        <f t="shared" si="3"/>
        <v>2400</v>
      </c>
      <c r="L31" s="49">
        <f t="shared" si="4"/>
        <v>0</v>
      </c>
      <c r="M31" s="49">
        <f t="shared" si="5"/>
        <v>0</v>
      </c>
      <c r="N31" s="54">
        <f t="shared" si="6"/>
        <v>2400</v>
      </c>
      <c r="O31" s="51" t="str">
        <f t="shared" si="7"/>
        <v>Good Job</v>
      </c>
    </row>
    <row r="32" spans="2:15" x14ac:dyDescent="0.25">
      <c r="B32" s="29">
        <v>17</v>
      </c>
      <c r="C32" s="52">
        <v>50</v>
      </c>
      <c r="D32" s="52" t="s">
        <v>43</v>
      </c>
      <c r="E32" s="52">
        <v>47</v>
      </c>
      <c r="F32" s="49">
        <f t="shared" si="0"/>
        <v>48</v>
      </c>
      <c r="G32" s="52">
        <v>1</v>
      </c>
      <c r="H32" s="52">
        <v>2</v>
      </c>
      <c r="I32" s="49" t="b">
        <f t="shared" si="1"/>
        <v>1</v>
      </c>
      <c r="J32" s="49" t="b">
        <f t="shared" si="2"/>
        <v>0</v>
      </c>
      <c r="K32" s="54">
        <f t="shared" si="3"/>
        <v>2256</v>
      </c>
      <c r="L32" s="49">
        <f t="shared" si="4"/>
        <v>2256</v>
      </c>
      <c r="M32" s="49">
        <f t="shared" si="5"/>
        <v>0</v>
      </c>
      <c r="N32" s="54">
        <f t="shared" si="6"/>
        <v>4512</v>
      </c>
      <c r="O32" s="51" t="str">
        <f t="shared" si="7"/>
        <v>Good Job</v>
      </c>
    </row>
    <row r="33" spans="2:15" x14ac:dyDescent="0.25">
      <c r="B33" s="29">
        <v>18</v>
      </c>
      <c r="C33" s="52">
        <v>60</v>
      </c>
      <c r="D33" s="52" t="s">
        <v>41</v>
      </c>
      <c r="E33" s="52">
        <v>65</v>
      </c>
      <c r="F33" s="49">
        <f t="shared" si="0"/>
        <v>50</v>
      </c>
      <c r="G33" s="52">
        <v>2</v>
      </c>
      <c r="H33" s="52">
        <v>3</v>
      </c>
      <c r="I33" s="49" t="b">
        <f t="shared" si="1"/>
        <v>0</v>
      </c>
      <c r="J33" s="49" t="b">
        <f t="shared" si="2"/>
        <v>0</v>
      </c>
      <c r="K33" s="54">
        <f t="shared" si="3"/>
        <v>3250</v>
      </c>
      <c r="L33" s="49">
        <f t="shared" si="4"/>
        <v>0</v>
      </c>
      <c r="M33" s="49">
        <f t="shared" si="5"/>
        <v>0</v>
      </c>
      <c r="N33" s="54">
        <f t="shared" si="6"/>
        <v>3250</v>
      </c>
      <c r="O33" s="51" t="str">
        <f t="shared" si="7"/>
        <v>Too Much Time</v>
      </c>
    </row>
    <row r="34" spans="2:15" x14ac:dyDescent="0.25">
      <c r="B34" s="29">
        <v>19</v>
      </c>
      <c r="C34" s="52">
        <v>60</v>
      </c>
      <c r="D34" s="52" t="s">
        <v>41</v>
      </c>
      <c r="E34" s="52">
        <v>61</v>
      </c>
      <c r="F34" s="49">
        <f t="shared" si="0"/>
        <v>50</v>
      </c>
      <c r="G34" s="52">
        <v>2</v>
      </c>
      <c r="H34" s="52">
        <v>3</v>
      </c>
      <c r="I34" s="49" t="b">
        <f t="shared" si="1"/>
        <v>0</v>
      </c>
      <c r="J34" s="49" t="b">
        <f t="shared" si="2"/>
        <v>0</v>
      </c>
      <c r="K34" s="54">
        <f t="shared" si="3"/>
        <v>3050</v>
      </c>
      <c r="L34" s="49">
        <f t="shared" si="4"/>
        <v>0</v>
      </c>
      <c r="M34" s="49">
        <f t="shared" si="5"/>
        <v>0</v>
      </c>
      <c r="N34" s="54">
        <f t="shared" si="6"/>
        <v>3050</v>
      </c>
      <c r="O34" s="51" t="str">
        <f t="shared" si="7"/>
        <v>Too Much Time</v>
      </c>
    </row>
    <row r="35" spans="2:15" ht="15.75" thickBot="1" x14ac:dyDescent="0.3">
      <c r="B35" s="32">
        <v>20</v>
      </c>
      <c r="C35" s="55">
        <v>80</v>
      </c>
      <c r="D35" s="55" t="s">
        <v>43</v>
      </c>
      <c r="E35" s="55">
        <v>79</v>
      </c>
      <c r="F35" s="49">
        <f t="shared" si="0"/>
        <v>48</v>
      </c>
      <c r="G35" s="55">
        <v>3</v>
      </c>
      <c r="H35" s="55">
        <v>1</v>
      </c>
      <c r="I35" s="49" t="b">
        <f t="shared" si="1"/>
        <v>0</v>
      </c>
      <c r="J35" s="49" t="b">
        <f t="shared" si="2"/>
        <v>1</v>
      </c>
      <c r="K35" s="56">
        <f t="shared" si="3"/>
        <v>3792</v>
      </c>
      <c r="L35" s="49">
        <f t="shared" si="4"/>
        <v>0</v>
      </c>
      <c r="M35" s="49">
        <f t="shared" si="5"/>
        <v>379.20000000000005</v>
      </c>
      <c r="N35" s="56">
        <f t="shared" si="6"/>
        <v>4171.2</v>
      </c>
      <c r="O35" s="51" t="str">
        <f t="shared" si="7"/>
        <v>Good Job</v>
      </c>
    </row>
    <row r="36" spans="2:15" s="18" customFormat="1" ht="15.75" thickBot="1" x14ac:dyDescent="0.3">
      <c r="L36" s="57"/>
      <c r="M36" s="57"/>
      <c r="N36" s="57"/>
    </row>
    <row r="37" spans="2:15" s="18" customFormat="1" ht="15.75" thickBot="1" x14ac:dyDescent="0.3">
      <c r="G37" s="163" t="s">
        <v>60</v>
      </c>
      <c r="H37" s="164"/>
      <c r="I37" s="164"/>
      <c r="J37" s="164"/>
      <c r="K37" s="164"/>
      <c r="L37" s="164"/>
      <c r="M37" s="164"/>
      <c r="N37" s="165"/>
    </row>
    <row r="38" spans="2:15" s="18" customFormat="1" x14ac:dyDescent="0.25">
      <c r="B38" s="163" t="s">
        <v>61</v>
      </c>
      <c r="C38" s="164"/>
      <c r="D38" s="164"/>
      <c r="E38" s="165"/>
      <c r="G38" s="44" t="s">
        <v>39</v>
      </c>
      <c r="H38" s="45" t="s">
        <v>62</v>
      </c>
      <c r="I38" s="45" t="s">
        <v>63</v>
      </c>
      <c r="J38" s="45" t="s">
        <v>58</v>
      </c>
      <c r="K38" s="45" t="s">
        <v>64</v>
      </c>
      <c r="L38" s="45" t="s">
        <v>65</v>
      </c>
      <c r="M38" s="45" t="s">
        <v>66</v>
      </c>
      <c r="N38" s="46" t="s">
        <v>67</v>
      </c>
    </row>
    <row r="39" spans="2:15" s="18" customFormat="1" x14ac:dyDescent="0.25">
      <c r="B39" s="44" t="s">
        <v>48</v>
      </c>
      <c r="C39" s="45" t="s">
        <v>39</v>
      </c>
      <c r="D39" s="45" t="s">
        <v>51</v>
      </c>
      <c r="E39" s="46" t="s">
        <v>68</v>
      </c>
      <c r="G39" s="58" t="s">
        <v>40</v>
      </c>
      <c r="H39" s="59">
        <f>COUNTIF(D16:D35,G39)</f>
        <v>5</v>
      </c>
      <c r="I39" s="60">
        <f>SUMIF(D16:D35,G39,E16:E35)</f>
        <v>317</v>
      </c>
      <c r="J39" s="53">
        <f>SUMIF(D16:D35,G39,K16:K35)</f>
        <v>16484</v>
      </c>
      <c r="K39" s="61">
        <v>1</v>
      </c>
      <c r="L39" s="54">
        <v>400</v>
      </c>
      <c r="M39" s="54">
        <f>(J39+L39)/H39</f>
        <v>3376.8</v>
      </c>
      <c r="N39" s="62">
        <f>(L39+J39)/I39</f>
        <v>53.261829652996845</v>
      </c>
    </row>
    <row r="40" spans="2:15" s="18" customFormat="1" x14ac:dyDescent="0.25">
      <c r="B40" s="29">
        <v>5</v>
      </c>
      <c r="C40" s="59" t="str">
        <f>VLOOKUP(B40,B16:D35,3,)</f>
        <v>Jim</v>
      </c>
      <c r="D40" s="60">
        <f>VLOOKUP(B40,B16:G35,6,)</f>
        <v>3</v>
      </c>
      <c r="E40" s="62">
        <v>400</v>
      </c>
      <c r="G40" s="58" t="s">
        <v>41</v>
      </c>
      <c r="H40" s="59">
        <f t="shared" ref="H40:H42" si="8">COUNTIF(D17:D36,G40)</f>
        <v>5</v>
      </c>
      <c r="I40" s="60">
        <f t="shared" ref="I40:I42" si="9">SUMIF(D17:D36,G40,E17:E36)</f>
        <v>256</v>
      </c>
      <c r="J40" s="53">
        <f t="shared" ref="J40:J42" si="10">SUMIF(D17:D36,G40,K17:K36)</f>
        <v>12800</v>
      </c>
      <c r="K40" s="61">
        <v>1</v>
      </c>
      <c r="L40" s="54">
        <v>250</v>
      </c>
      <c r="M40" s="54">
        <f>(J40+L40)/H40</f>
        <v>2610</v>
      </c>
      <c r="N40" s="62">
        <f>(L40+J40)/I40</f>
        <v>50.9765625</v>
      </c>
    </row>
    <row r="41" spans="2:15" s="18" customFormat="1" x14ac:dyDescent="0.25">
      <c r="B41" s="29">
        <v>8</v>
      </c>
      <c r="C41" s="59" t="str">
        <f t="shared" ref="C41:C46" si="11">VLOOKUP(B41,B17:D36,3,)</f>
        <v>Jennifer</v>
      </c>
      <c r="D41" s="60">
        <f t="shared" ref="D41:D46" si="12">VLOOKUP(B41,B17:G36,6,)</f>
        <v>3</v>
      </c>
      <c r="E41" s="62">
        <v>600</v>
      </c>
      <c r="G41" s="58" t="s">
        <v>42</v>
      </c>
      <c r="H41" s="59">
        <f t="shared" si="8"/>
        <v>5</v>
      </c>
      <c r="I41" s="60">
        <f t="shared" si="9"/>
        <v>278</v>
      </c>
      <c r="J41" s="53">
        <f t="shared" si="10"/>
        <v>13066</v>
      </c>
      <c r="K41" s="61">
        <v>1</v>
      </c>
      <c r="L41" s="54">
        <v>300</v>
      </c>
      <c r="M41" s="54">
        <f>(J41+L41)/H41</f>
        <v>2673.2</v>
      </c>
      <c r="N41" s="62">
        <f>(L41+J41)/I41</f>
        <v>48.079136690647481</v>
      </c>
    </row>
    <row r="42" spans="2:15" s="18" customFormat="1" ht="15.75" thickBot="1" x14ac:dyDescent="0.3">
      <c r="B42" s="29">
        <v>11</v>
      </c>
      <c r="C42" s="59" t="str">
        <f t="shared" si="11"/>
        <v>Jake</v>
      </c>
      <c r="D42" s="60">
        <f t="shared" si="12"/>
        <v>2</v>
      </c>
      <c r="E42" s="62">
        <v>300</v>
      </c>
      <c r="G42" s="63" t="s">
        <v>43</v>
      </c>
      <c r="H42" s="59">
        <f t="shared" si="8"/>
        <v>5</v>
      </c>
      <c r="I42" s="60">
        <f t="shared" si="9"/>
        <v>283</v>
      </c>
      <c r="J42" s="53">
        <f t="shared" si="10"/>
        <v>13584</v>
      </c>
      <c r="K42" s="64">
        <v>4</v>
      </c>
      <c r="L42" s="56">
        <v>2300</v>
      </c>
      <c r="M42" s="56">
        <f>(J42+L42)/H42</f>
        <v>3176.8</v>
      </c>
      <c r="N42" s="65">
        <f>(L42+J42)/I42</f>
        <v>56.127208480565372</v>
      </c>
    </row>
    <row r="43" spans="2:15" s="18" customFormat="1" ht="15.75" thickBot="1" x14ac:dyDescent="0.3">
      <c r="B43" s="29">
        <v>12</v>
      </c>
      <c r="C43" s="59" t="str">
        <f t="shared" si="11"/>
        <v>Jennifer</v>
      </c>
      <c r="D43" s="60">
        <f t="shared" si="12"/>
        <v>2</v>
      </c>
      <c r="E43" s="62">
        <v>700</v>
      </c>
    </row>
    <row r="44" spans="2:15" s="18" customFormat="1" x14ac:dyDescent="0.25">
      <c r="B44" s="29">
        <v>13</v>
      </c>
      <c r="C44" s="59" t="str">
        <f t="shared" si="11"/>
        <v>Jennifer</v>
      </c>
      <c r="D44" s="60">
        <f t="shared" si="12"/>
        <v>2</v>
      </c>
      <c r="E44" s="62">
        <v>500</v>
      </c>
      <c r="G44" s="163" t="s">
        <v>69</v>
      </c>
      <c r="H44" s="164"/>
      <c r="I44" s="164"/>
      <c r="J44" s="164"/>
      <c r="K44" s="164"/>
      <c r="L44" s="164"/>
      <c r="M44" s="164"/>
      <c r="N44" s="165"/>
    </row>
    <row r="45" spans="2:15" s="18" customFormat="1" x14ac:dyDescent="0.25">
      <c r="B45" s="29">
        <v>16</v>
      </c>
      <c r="C45" s="59" t="str">
        <f t="shared" si="11"/>
        <v>Jill</v>
      </c>
      <c r="D45" s="60">
        <f t="shared" si="12"/>
        <v>1</v>
      </c>
      <c r="E45" s="62">
        <v>250</v>
      </c>
      <c r="G45" s="44" t="s">
        <v>51</v>
      </c>
      <c r="H45" s="45" t="s">
        <v>62</v>
      </c>
      <c r="I45" s="45" t="s">
        <v>58</v>
      </c>
      <c r="J45" s="45" t="s">
        <v>64</v>
      </c>
      <c r="K45" s="45" t="s">
        <v>65</v>
      </c>
      <c r="L45" s="45" t="s">
        <v>70</v>
      </c>
      <c r="M45" s="45" t="s">
        <v>66</v>
      </c>
      <c r="N45" s="46" t="s">
        <v>71</v>
      </c>
    </row>
    <row r="46" spans="2:15" s="18" customFormat="1" ht="15.75" thickBot="1" x14ac:dyDescent="0.3">
      <c r="B46" s="32">
        <v>20</v>
      </c>
      <c r="C46" s="59" t="str">
        <f t="shared" si="11"/>
        <v>Jennifer</v>
      </c>
      <c r="D46" s="60">
        <f t="shared" si="12"/>
        <v>3</v>
      </c>
      <c r="E46" s="65">
        <v>500</v>
      </c>
      <c r="G46" s="29">
        <v>1</v>
      </c>
      <c r="H46" s="61">
        <v>4</v>
      </c>
      <c r="I46" s="54">
        <v>9944.4</v>
      </c>
      <c r="J46" s="59">
        <f>COUNTIF($D$40:$D$46,G46)</f>
        <v>1</v>
      </c>
      <c r="K46" s="53">
        <f>SUMIF(D40:D46,G46,E40:E46)*H46</f>
        <v>1000</v>
      </c>
      <c r="L46" s="54">
        <f>K46+I46</f>
        <v>10944.4</v>
      </c>
      <c r="M46" s="54">
        <f>L46/H46</f>
        <v>2736.1</v>
      </c>
      <c r="N46" s="66">
        <f ca="1">AVERAGEIF($G$16:$G$35,G46:G50,F16)</f>
        <v>49.25</v>
      </c>
    </row>
    <row r="47" spans="2:15" s="18" customFormat="1" x14ac:dyDescent="0.25">
      <c r="G47" s="29">
        <v>2</v>
      </c>
      <c r="H47" s="61">
        <v>7</v>
      </c>
      <c r="I47" s="54">
        <v>21314.6</v>
      </c>
      <c r="J47" s="59">
        <f t="shared" ref="J47:J50" si="13">COUNTIF($D$40:$D$46,G47)</f>
        <v>3</v>
      </c>
      <c r="K47" s="53">
        <f t="shared" ref="K47:K50" si="14">SUMIF(D41:D47,G47,E41:E47)*H47</f>
        <v>10500</v>
      </c>
      <c r="L47" s="54">
        <f>K47+I47</f>
        <v>31814.6</v>
      </c>
      <c r="M47" s="54">
        <f>L47/H47</f>
        <v>4544.9428571428571</v>
      </c>
      <c r="N47" s="66">
        <f t="shared" ref="N47:N50" ca="1" si="15">AVERAGEIF($G$16:$G$35,G47:G51,F17)</f>
        <v>47.857142857142854</v>
      </c>
    </row>
    <row r="48" spans="2:15" s="18" customFormat="1" x14ac:dyDescent="0.25">
      <c r="G48" s="29">
        <v>3</v>
      </c>
      <c r="H48" s="61">
        <v>7</v>
      </c>
      <c r="I48" s="54">
        <v>21104.400000000001</v>
      </c>
      <c r="J48" s="59">
        <f t="shared" si="13"/>
        <v>3</v>
      </c>
      <c r="K48" s="53">
        <f t="shared" si="14"/>
        <v>3500</v>
      </c>
      <c r="L48" s="54">
        <f>K48+I48</f>
        <v>24604.400000000001</v>
      </c>
      <c r="M48" s="54">
        <f>L48/H48</f>
        <v>3514.9142857142861</v>
      </c>
      <c r="N48" s="66">
        <f t="shared" ca="1" si="15"/>
        <v>49.5</v>
      </c>
    </row>
    <row r="49" spans="7:23" s="18" customFormat="1" x14ac:dyDescent="0.25">
      <c r="G49" s="29">
        <v>4</v>
      </c>
      <c r="H49" s="61">
        <v>1</v>
      </c>
      <c r="I49" s="54">
        <v>4919.2</v>
      </c>
      <c r="J49" s="59">
        <f t="shared" si="13"/>
        <v>0</v>
      </c>
      <c r="K49" s="53">
        <f t="shared" si="14"/>
        <v>0</v>
      </c>
      <c r="L49" s="54">
        <f>K49+I49</f>
        <v>4919.2</v>
      </c>
      <c r="M49" s="54">
        <f>L49/H49</f>
        <v>4919.2</v>
      </c>
      <c r="N49" s="66">
        <f t="shared" ca="1" si="15"/>
        <v>47</v>
      </c>
    </row>
    <row r="50" spans="7:23" s="18" customFormat="1" ht="15.75" thickBot="1" x14ac:dyDescent="0.3">
      <c r="G50" s="32">
        <v>5</v>
      </c>
      <c r="H50" s="64">
        <v>1</v>
      </c>
      <c r="I50" s="56">
        <v>2200</v>
      </c>
      <c r="J50" s="59">
        <f t="shared" si="13"/>
        <v>0</v>
      </c>
      <c r="K50" s="53">
        <f t="shared" si="14"/>
        <v>0</v>
      </c>
      <c r="L50" s="56">
        <f>K50+I50</f>
        <v>2200</v>
      </c>
      <c r="M50" s="56">
        <f>L50/H50</f>
        <v>2200</v>
      </c>
      <c r="N50" s="66">
        <f t="shared" ca="1" si="15"/>
        <v>47</v>
      </c>
    </row>
    <row r="51" spans="7:23" x14ac:dyDescent="0.25">
      <c r="P51" s="18"/>
      <c r="Q51" s="18"/>
      <c r="R51" s="18"/>
      <c r="S51" s="18"/>
      <c r="T51" s="18"/>
      <c r="U51" s="18"/>
      <c r="V51" s="18"/>
      <c r="W51" s="18"/>
    </row>
    <row r="54" spans="7:23" ht="15" customHeight="1" x14ac:dyDescent="0.25"/>
    <row r="58" spans="7:23" ht="15" customHeight="1" x14ac:dyDescent="0.25"/>
    <row r="62" spans="7:23" ht="15" customHeight="1" x14ac:dyDescent="0.25"/>
    <row r="63" spans="7:23" ht="15" customHeight="1" x14ac:dyDescent="0.25"/>
    <row r="66" ht="15" customHeight="1" x14ac:dyDescent="0.25"/>
    <row r="67" ht="15" customHeight="1" x14ac:dyDescent="0.25"/>
    <row r="70" ht="15" customHeight="1" x14ac:dyDescent="0.25"/>
    <row r="72" ht="15" customHeight="1" x14ac:dyDescent="0.25"/>
    <row r="74" ht="15" customHeight="1" x14ac:dyDescent="0.25"/>
    <row r="78" ht="15" customHeight="1" x14ac:dyDescent="0.25"/>
    <row r="82" ht="15" customHeight="1" x14ac:dyDescent="0.25"/>
    <row r="85" ht="15" customHeight="1" x14ac:dyDescent="0.25"/>
    <row r="86" ht="15" customHeight="1" x14ac:dyDescent="0.25"/>
    <row r="89" ht="15" customHeight="1" x14ac:dyDescent="0.25"/>
    <row r="90" ht="15" customHeight="1" x14ac:dyDescent="0.25"/>
  </sheetData>
  <mergeCells count="7">
    <mergeCell ref="G44:N44"/>
    <mergeCell ref="D2:L8"/>
    <mergeCell ref="D10:H10"/>
    <mergeCell ref="L10:M10"/>
    <mergeCell ref="B14:O14"/>
    <mergeCell ref="G37:N37"/>
    <mergeCell ref="B38:E38"/>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19"/>
  <sheetViews>
    <sheetView topLeftCell="A20" workbookViewId="0">
      <selection activeCell="I38" sqref="I38"/>
    </sheetView>
  </sheetViews>
  <sheetFormatPr defaultColWidth="8.7109375" defaultRowHeight="15" x14ac:dyDescent="0.25"/>
  <cols>
    <col min="1" max="1" width="8.7109375" style="67"/>
    <col min="2" max="2" width="27" style="67" customWidth="1"/>
    <col min="3" max="16384" width="8.7109375" style="67"/>
  </cols>
  <sheetData>
    <row r="1" spans="1:10" ht="15.75" thickBot="1" x14ac:dyDescent="0.3"/>
    <row r="2" spans="1:10" ht="14.45" customHeight="1" x14ac:dyDescent="0.25">
      <c r="B2" s="175" t="s">
        <v>72</v>
      </c>
      <c r="C2" s="176"/>
      <c r="D2" s="176"/>
      <c r="E2" s="176"/>
      <c r="F2" s="176"/>
      <c r="G2" s="176"/>
      <c r="H2" s="176"/>
      <c r="I2" s="176"/>
      <c r="J2" s="177"/>
    </row>
    <row r="3" spans="1:10" x14ac:dyDescent="0.25">
      <c r="B3" s="178"/>
      <c r="C3" s="179"/>
      <c r="D3" s="179"/>
      <c r="E3" s="179"/>
      <c r="F3" s="179"/>
      <c r="G3" s="179"/>
      <c r="H3" s="179"/>
      <c r="I3" s="179"/>
      <c r="J3" s="180"/>
    </row>
    <row r="4" spans="1:10" ht="15.75" thickBot="1" x14ac:dyDescent="0.3">
      <c r="B4" s="181"/>
      <c r="C4" s="182"/>
      <c r="D4" s="182"/>
      <c r="E4" s="182"/>
      <c r="F4" s="182"/>
      <c r="G4" s="182"/>
      <c r="H4" s="182"/>
      <c r="I4" s="182"/>
      <c r="J4" s="183"/>
    </row>
    <row r="6" spans="1:10" ht="15.75" thickBot="1" x14ac:dyDescent="0.3">
      <c r="A6" s="68"/>
      <c r="B6" s="69" t="s">
        <v>73</v>
      </c>
    </row>
    <row r="7" spans="1:10" x14ac:dyDescent="0.25">
      <c r="A7" s="70"/>
      <c r="B7" s="71" t="s">
        <v>74</v>
      </c>
      <c r="C7" s="72">
        <v>2003</v>
      </c>
      <c r="D7" s="72">
        <v>2004</v>
      </c>
      <c r="E7" s="72">
        <v>2005</v>
      </c>
      <c r="F7" s="72">
        <v>2006</v>
      </c>
      <c r="G7" s="72">
        <v>2007</v>
      </c>
      <c r="H7" s="72">
        <v>2008</v>
      </c>
      <c r="I7" s="72">
        <v>2009</v>
      </c>
      <c r="J7" s="73">
        <v>2010</v>
      </c>
    </row>
    <row r="8" spans="1:10" x14ac:dyDescent="0.25">
      <c r="A8" s="70"/>
      <c r="B8" s="74" t="s">
        <v>75</v>
      </c>
      <c r="C8" s="75">
        <v>249</v>
      </c>
      <c r="D8" s="75">
        <v>652</v>
      </c>
      <c r="E8" s="75">
        <v>1257</v>
      </c>
      <c r="F8" s="75">
        <v>2254</v>
      </c>
      <c r="G8" s="75">
        <v>3664</v>
      </c>
      <c r="H8" s="75">
        <v>5186</v>
      </c>
      <c r="I8" s="75">
        <v>5509</v>
      </c>
      <c r="J8" s="76">
        <v>6775</v>
      </c>
    </row>
    <row r="9" spans="1:10" x14ac:dyDescent="0.25">
      <c r="A9" s="68"/>
      <c r="B9" s="74" t="s">
        <v>76</v>
      </c>
      <c r="C9" s="77">
        <v>311</v>
      </c>
      <c r="D9" s="77">
        <v>700</v>
      </c>
      <c r="E9" s="77">
        <v>1384</v>
      </c>
      <c r="F9" s="77">
        <v>2456</v>
      </c>
      <c r="G9" s="77">
        <v>3872</v>
      </c>
      <c r="H9" s="77">
        <v>5367</v>
      </c>
      <c r="I9" s="77">
        <v>5523</v>
      </c>
      <c r="J9" s="78">
        <v>6820</v>
      </c>
    </row>
    <row r="10" spans="1:10" x14ac:dyDescent="0.25">
      <c r="A10" s="70"/>
      <c r="B10" s="74" t="s">
        <v>77</v>
      </c>
      <c r="C10" s="77">
        <v>394</v>
      </c>
      <c r="D10" s="77">
        <v>806</v>
      </c>
      <c r="E10" s="77">
        <v>1578</v>
      </c>
      <c r="F10" s="77">
        <v>2690</v>
      </c>
      <c r="G10" s="77">
        <v>4232</v>
      </c>
      <c r="H10" s="77">
        <v>5542</v>
      </c>
      <c r="I10" s="77">
        <v>5945</v>
      </c>
      <c r="J10" s="78">
        <v>7286</v>
      </c>
    </row>
    <row r="11" spans="1:10" x14ac:dyDescent="0.25">
      <c r="A11" s="70"/>
      <c r="B11" s="74" t="s">
        <v>78</v>
      </c>
      <c r="C11" s="77">
        <v>512</v>
      </c>
      <c r="D11" s="77">
        <v>1032</v>
      </c>
      <c r="E11" s="77">
        <v>1919</v>
      </c>
      <c r="F11" s="77">
        <v>3205</v>
      </c>
      <c r="G11" s="77">
        <v>4827</v>
      </c>
      <c r="H11" s="77">
        <v>5701</v>
      </c>
      <c r="I11" s="77">
        <v>6674</v>
      </c>
      <c r="J11" s="78">
        <v>8440</v>
      </c>
    </row>
    <row r="12" spans="1:10" ht="15.75" thickBot="1" x14ac:dyDescent="0.3">
      <c r="A12" s="68"/>
      <c r="B12" s="20" t="s">
        <v>79</v>
      </c>
      <c r="C12" s="79">
        <v>1466</v>
      </c>
      <c r="D12" s="79">
        <v>3190</v>
      </c>
      <c r="E12" s="79">
        <v>6138</v>
      </c>
      <c r="F12" s="79">
        <v>10605</v>
      </c>
      <c r="G12" s="79">
        <v>16595</v>
      </c>
      <c r="H12" s="79">
        <v>21796</v>
      </c>
      <c r="I12" s="79">
        <v>23651</v>
      </c>
      <c r="J12" s="80">
        <v>29321</v>
      </c>
    </row>
    <row r="13" spans="1:10" x14ac:dyDescent="0.25">
      <c r="A13" s="70"/>
      <c r="J13" s="81"/>
    </row>
    <row r="14" spans="1:10" ht="15.75" thickBot="1" x14ac:dyDescent="0.3">
      <c r="A14" s="70"/>
      <c r="B14" s="69" t="s">
        <v>80</v>
      </c>
    </row>
    <row r="15" spans="1:10" x14ac:dyDescent="0.25">
      <c r="A15" s="68"/>
      <c r="B15" s="71" t="s">
        <v>81</v>
      </c>
      <c r="C15" s="72">
        <v>2003</v>
      </c>
      <c r="D15" s="72">
        <v>2004</v>
      </c>
      <c r="E15" s="72">
        <v>2005</v>
      </c>
      <c r="F15" s="72">
        <v>2006</v>
      </c>
      <c r="G15" s="72">
        <v>2007</v>
      </c>
      <c r="H15" s="72">
        <v>2008</v>
      </c>
      <c r="I15" s="82">
        <v>2009</v>
      </c>
      <c r="J15" s="83">
        <v>2010</v>
      </c>
    </row>
    <row r="16" spans="1:10" x14ac:dyDescent="0.25">
      <c r="A16" s="68"/>
      <c r="B16" s="74" t="s">
        <v>82</v>
      </c>
      <c r="C16" s="84">
        <v>792</v>
      </c>
      <c r="D16" s="84">
        <v>1590</v>
      </c>
      <c r="E16" s="84">
        <v>3377</v>
      </c>
      <c r="F16" s="84">
        <v>6332</v>
      </c>
      <c r="G16" s="84">
        <v>10625</v>
      </c>
      <c r="H16" s="84">
        <v>14414</v>
      </c>
      <c r="I16" s="84">
        <v>15723</v>
      </c>
      <c r="J16" s="76">
        <v>19443</v>
      </c>
    </row>
    <row r="17" spans="2:10" x14ac:dyDescent="0.25">
      <c r="B17" s="74" t="s">
        <v>83</v>
      </c>
      <c r="C17" s="84">
        <v>628</v>
      </c>
      <c r="D17" s="84">
        <v>1554</v>
      </c>
      <c r="E17" s="84">
        <v>2688</v>
      </c>
      <c r="F17" s="84">
        <v>4160</v>
      </c>
      <c r="G17" s="84">
        <v>5788</v>
      </c>
      <c r="H17" s="84">
        <v>6715</v>
      </c>
      <c r="I17" s="84">
        <v>7166</v>
      </c>
      <c r="J17" s="78">
        <v>8793</v>
      </c>
    </row>
    <row r="18" spans="2:10" x14ac:dyDescent="0.25">
      <c r="B18" s="74" t="s">
        <v>84</v>
      </c>
      <c r="C18" s="84">
        <v>46</v>
      </c>
      <c r="D18" s="84">
        <v>46</v>
      </c>
      <c r="E18" s="84">
        <v>73</v>
      </c>
      <c r="F18" s="84">
        <v>113</v>
      </c>
      <c r="G18" s="84">
        <v>182</v>
      </c>
      <c r="H18" s="84">
        <v>667</v>
      </c>
      <c r="I18" s="84">
        <v>762</v>
      </c>
      <c r="J18" s="78">
        <v>1085</v>
      </c>
    </row>
    <row r="19" spans="2:10" ht="15.75" thickBot="1" x14ac:dyDescent="0.3">
      <c r="B19" s="20" t="s">
        <v>85</v>
      </c>
      <c r="C19" s="79">
        <v>1466</v>
      </c>
      <c r="D19" s="79">
        <v>3190</v>
      </c>
      <c r="E19" s="79">
        <v>6138</v>
      </c>
      <c r="F19" s="79">
        <v>10605</v>
      </c>
      <c r="G19" s="79">
        <v>16595</v>
      </c>
      <c r="H19" s="79">
        <v>21796</v>
      </c>
      <c r="I19" s="79">
        <v>23651</v>
      </c>
      <c r="J19" s="80">
        <v>29321</v>
      </c>
    </row>
  </sheetData>
  <mergeCells count="1">
    <mergeCell ref="B2:J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K81"/>
  <sheetViews>
    <sheetView tabSelected="1" zoomScale="86" zoomScaleNormal="86" workbookViewId="0">
      <selection activeCell="D15" sqref="D15"/>
    </sheetView>
  </sheetViews>
  <sheetFormatPr defaultRowHeight="15" x14ac:dyDescent="0.25"/>
  <cols>
    <col min="2" max="2" width="14.42578125" bestFit="1" customWidth="1"/>
    <col min="3" max="3" width="14.85546875" bestFit="1" customWidth="1"/>
    <col min="4" max="4" width="13.7109375" customWidth="1"/>
    <col min="6" max="6" width="17.85546875" bestFit="1" customWidth="1"/>
    <col min="11" max="11" width="41.42578125" bestFit="1" customWidth="1"/>
    <col min="12" max="12" width="9.140625" customWidth="1"/>
  </cols>
  <sheetData>
    <row r="1" spans="2:11" ht="15.75" thickBot="1" x14ac:dyDescent="0.3"/>
    <row r="2" spans="2:11" x14ac:dyDescent="0.25">
      <c r="B2" s="184" t="s">
        <v>86</v>
      </c>
      <c r="C2" s="185"/>
      <c r="D2" s="185"/>
      <c r="E2" s="185"/>
      <c r="F2" s="185"/>
      <c r="G2" s="185"/>
      <c r="H2" s="185"/>
      <c r="I2" s="185"/>
      <c r="J2" s="185"/>
      <c r="K2" s="186"/>
    </row>
    <row r="3" spans="2:11" x14ac:dyDescent="0.25">
      <c r="B3" s="187"/>
      <c r="C3" s="188"/>
      <c r="D3" s="188"/>
      <c r="E3" s="188"/>
      <c r="F3" s="188"/>
      <c r="G3" s="188"/>
      <c r="H3" s="188"/>
      <c r="I3" s="188"/>
      <c r="J3" s="188"/>
      <c r="K3" s="189"/>
    </row>
    <row r="4" spans="2:11" x14ac:dyDescent="0.25">
      <c r="B4" s="187"/>
      <c r="C4" s="188"/>
      <c r="D4" s="188"/>
      <c r="E4" s="188"/>
      <c r="F4" s="188"/>
      <c r="G4" s="188"/>
      <c r="H4" s="188"/>
      <c r="I4" s="188"/>
      <c r="J4" s="188"/>
      <c r="K4" s="189"/>
    </row>
    <row r="5" spans="2:11" x14ac:dyDescent="0.25">
      <c r="B5" s="187"/>
      <c r="C5" s="188"/>
      <c r="D5" s="188"/>
      <c r="E5" s="188"/>
      <c r="F5" s="188"/>
      <c r="G5" s="188"/>
      <c r="H5" s="188"/>
      <c r="I5" s="188"/>
      <c r="J5" s="188"/>
      <c r="K5" s="189"/>
    </row>
    <row r="6" spans="2:11" x14ac:dyDescent="0.25">
      <c r="B6" s="187"/>
      <c r="C6" s="188"/>
      <c r="D6" s="188"/>
      <c r="E6" s="188"/>
      <c r="F6" s="188"/>
      <c r="G6" s="188"/>
      <c r="H6" s="188"/>
      <c r="I6" s="188"/>
      <c r="J6" s="188"/>
      <c r="K6" s="189"/>
    </row>
    <row r="7" spans="2:11" ht="15.75" thickBot="1" x14ac:dyDescent="0.3">
      <c r="B7" s="190"/>
      <c r="C7" s="191"/>
      <c r="D7" s="191"/>
      <c r="E7" s="191"/>
      <c r="F7" s="191"/>
      <c r="G7" s="191"/>
      <c r="H7" s="191"/>
      <c r="I7" s="191"/>
      <c r="J7" s="191"/>
      <c r="K7" s="192"/>
    </row>
    <row r="9" spans="2:11" x14ac:dyDescent="0.25">
      <c r="C9" s="11" t="s">
        <v>87</v>
      </c>
      <c r="D9" s="85" t="s">
        <v>88</v>
      </c>
      <c r="E9" s="85"/>
      <c r="F9" s="85"/>
    </row>
    <row r="10" spans="2:11" ht="15" customHeight="1" x14ac:dyDescent="0.25">
      <c r="C10" t="s">
        <v>89</v>
      </c>
      <c r="D10" s="86">
        <f>LEN(D9)</f>
        <v>28</v>
      </c>
    </row>
    <row r="11" spans="2:11" x14ac:dyDescent="0.25">
      <c r="C11" t="s">
        <v>90</v>
      </c>
      <c r="D11" s="86">
        <f>SEARCH("#",D9)</f>
        <v>23</v>
      </c>
    </row>
    <row r="12" spans="2:11" x14ac:dyDescent="0.25">
      <c r="C12" t="s">
        <v>91</v>
      </c>
      <c r="D12" s="86">
        <f>SEARCH("$",D9)</f>
        <v>9</v>
      </c>
    </row>
    <row r="13" spans="2:11" ht="15" customHeight="1" x14ac:dyDescent="0.25">
      <c r="C13" t="s">
        <v>92</v>
      </c>
      <c r="D13" s="86" t="str">
        <f>LEFT("I spent $",D12)</f>
        <v>I spent $</v>
      </c>
    </row>
    <row r="14" spans="2:11" x14ac:dyDescent="0.25">
      <c r="C14" t="s">
        <v>93</v>
      </c>
      <c r="D14" s="86"/>
    </row>
    <row r="15" spans="2:11" x14ac:dyDescent="0.25">
      <c r="C15" t="s">
        <v>94</v>
      </c>
      <c r="D15" s="86"/>
    </row>
    <row r="17" spans="2:11" s="47" customFormat="1" ht="15" customHeight="1" x14ac:dyDescent="0.25">
      <c r="B17" s="87" t="s">
        <v>95</v>
      </c>
      <c r="C17" s="87" t="s">
        <v>96</v>
      </c>
      <c r="D17" s="87" t="s">
        <v>97</v>
      </c>
      <c r="E17" s="88" t="s">
        <v>98</v>
      </c>
      <c r="F17" s="88" t="s">
        <v>99</v>
      </c>
      <c r="G17" s="88" t="s">
        <v>100</v>
      </c>
      <c r="H17" s="88" t="s">
        <v>101</v>
      </c>
      <c r="I17" s="88" t="s">
        <v>102</v>
      </c>
      <c r="J17" s="88" t="s">
        <v>103</v>
      </c>
      <c r="K17" s="88" t="s">
        <v>104</v>
      </c>
    </row>
    <row r="18" spans="2:11" x14ac:dyDescent="0.25">
      <c r="B18" s="89">
        <v>40756.788588000003</v>
      </c>
      <c r="C18" s="90">
        <v>4931</v>
      </c>
      <c r="D18" s="91">
        <v>24.06</v>
      </c>
      <c r="E18" s="92"/>
      <c r="F18" s="92"/>
      <c r="G18" s="92"/>
      <c r="H18" s="92"/>
      <c r="I18" s="92"/>
      <c r="J18" s="92"/>
      <c r="K18" s="92"/>
    </row>
    <row r="19" spans="2:11" x14ac:dyDescent="0.25">
      <c r="B19" s="89">
        <v>40757.455929999996</v>
      </c>
      <c r="C19" s="90">
        <v>4329</v>
      </c>
      <c r="D19" s="91">
        <v>26.99</v>
      </c>
      <c r="E19" s="92"/>
      <c r="F19" s="92"/>
      <c r="G19" s="92"/>
      <c r="H19" s="92"/>
      <c r="I19" s="92"/>
      <c r="J19" s="92"/>
      <c r="K19" s="92"/>
    </row>
    <row r="20" spans="2:11" x14ac:dyDescent="0.25">
      <c r="B20" s="89">
        <v>40757.629305000002</v>
      </c>
      <c r="C20" s="90">
        <v>8103</v>
      </c>
      <c r="D20" s="91">
        <v>24.25</v>
      </c>
      <c r="E20" s="92"/>
      <c r="F20" s="92"/>
      <c r="G20" s="92"/>
      <c r="H20" s="92"/>
      <c r="I20" s="92"/>
      <c r="J20" s="92"/>
      <c r="K20" s="92"/>
    </row>
    <row r="21" spans="2:11" x14ac:dyDescent="0.25">
      <c r="B21" s="89">
        <v>40757.866334999999</v>
      </c>
      <c r="C21" s="90">
        <v>8234</v>
      </c>
      <c r="D21" s="91">
        <v>9.58</v>
      </c>
      <c r="E21" s="92"/>
      <c r="F21" s="92"/>
      <c r="G21" s="92"/>
      <c r="H21" s="92"/>
      <c r="I21" s="92"/>
      <c r="J21" s="92"/>
      <c r="K21" s="92"/>
    </row>
    <row r="22" spans="2:11" x14ac:dyDescent="0.25">
      <c r="B22" s="89">
        <v>40758.693496</v>
      </c>
      <c r="C22" s="90">
        <v>4556</v>
      </c>
      <c r="D22" s="91">
        <v>16.59</v>
      </c>
      <c r="E22" s="92"/>
      <c r="F22" s="92"/>
      <c r="G22" s="92"/>
      <c r="H22" s="92"/>
      <c r="I22" s="92"/>
      <c r="J22" s="92"/>
      <c r="K22" s="92"/>
    </row>
    <row r="23" spans="2:11" x14ac:dyDescent="0.25">
      <c r="B23" s="89">
        <v>40759.640262000001</v>
      </c>
      <c r="C23" s="90">
        <v>4277</v>
      </c>
      <c r="D23" s="91">
        <v>22.08</v>
      </c>
      <c r="E23" s="92"/>
      <c r="F23" s="92"/>
      <c r="G23" s="92"/>
      <c r="H23" s="92"/>
      <c r="I23" s="92"/>
      <c r="J23" s="92"/>
      <c r="K23" s="92"/>
    </row>
    <row r="24" spans="2:11" x14ac:dyDescent="0.25">
      <c r="B24" s="89">
        <v>40759.708580999999</v>
      </c>
      <c r="C24" s="90">
        <v>4277</v>
      </c>
      <c r="D24" s="91">
        <v>23.06</v>
      </c>
      <c r="E24" s="92"/>
      <c r="F24" s="92"/>
      <c r="G24" s="92"/>
      <c r="H24" s="92"/>
      <c r="I24" s="92"/>
      <c r="J24" s="92"/>
      <c r="K24" s="92"/>
    </row>
    <row r="25" spans="2:11" x14ac:dyDescent="0.25">
      <c r="B25" s="89">
        <v>40759.777826999998</v>
      </c>
      <c r="C25" s="90">
        <v>6158</v>
      </c>
      <c r="D25" s="91">
        <v>23</v>
      </c>
      <c r="E25" s="92"/>
      <c r="F25" s="92"/>
      <c r="G25" s="92"/>
      <c r="H25" s="92"/>
      <c r="I25" s="92"/>
      <c r="J25" s="92"/>
      <c r="K25" s="92"/>
    </row>
    <row r="26" spans="2:11" x14ac:dyDescent="0.25">
      <c r="B26" s="89">
        <v>40760.749737999999</v>
      </c>
      <c r="C26" s="90">
        <v>4931</v>
      </c>
      <c r="D26" s="91">
        <v>15.81</v>
      </c>
      <c r="E26" s="92"/>
      <c r="F26" s="92"/>
      <c r="G26" s="92"/>
      <c r="H26" s="92"/>
      <c r="I26" s="92"/>
      <c r="J26" s="92"/>
      <c r="K26" s="92"/>
    </row>
    <row r="27" spans="2:11" x14ac:dyDescent="0.25">
      <c r="B27" s="89">
        <v>40761.346613000002</v>
      </c>
      <c r="C27" s="90">
        <v>4670</v>
      </c>
      <c r="D27" s="91">
        <v>6.81</v>
      </c>
      <c r="E27" s="92"/>
      <c r="F27" s="92"/>
      <c r="G27" s="92"/>
      <c r="H27" s="92"/>
      <c r="I27" s="92"/>
      <c r="J27" s="92"/>
      <c r="K27" s="92"/>
    </row>
    <row r="28" spans="2:11" x14ac:dyDescent="0.25">
      <c r="B28" s="89">
        <v>40763.369598999998</v>
      </c>
      <c r="C28" s="90">
        <v>6132</v>
      </c>
      <c r="D28" s="91">
        <v>16.8</v>
      </c>
      <c r="E28" s="92"/>
      <c r="F28" s="92"/>
      <c r="G28" s="92"/>
      <c r="H28" s="92"/>
      <c r="I28" s="92"/>
      <c r="J28" s="92"/>
      <c r="K28" s="92"/>
    </row>
    <row r="29" spans="2:11" x14ac:dyDescent="0.25">
      <c r="B29" s="89">
        <v>40763.377289999997</v>
      </c>
      <c r="C29" s="90">
        <v>4931</v>
      </c>
      <c r="D29" s="91">
        <v>5.0999999999999996</v>
      </c>
      <c r="E29" s="92"/>
      <c r="F29" s="92"/>
      <c r="G29" s="92"/>
      <c r="H29" s="92"/>
      <c r="I29" s="92"/>
      <c r="J29" s="92"/>
      <c r="K29" s="92"/>
    </row>
    <row r="30" spans="2:11" x14ac:dyDescent="0.25">
      <c r="B30" s="89">
        <v>40763.600053000002</v>
      </c>
      <c r="C30" s="90">
        <v>4670</v>
      </c>
      <c r="D30" s="91">
        <v>16.48</v>
      </c>
      <c r="E30" s="92"/>
      <c r="F30" s="92"/>
      <c r="G30" s="92"/>
      <c r="H30" s="92"/>
      <c r="I30" s="92"/>
      <c r="J30" s="92"/>
      <c r="K30" s="92"/>
    </row>
    <row r="31" spans="2:11" x14ac:dyDescent="0.25">
      <c r="B31" s="89">
        <v>40763.698378000001</v>
      </c>
      <c r="C31" s="90">
        <v>4670</v>
      </c>
      <c r="D31" s="91">
        <v>19.96</v>
      </c>
      <c r="E31" s="92"/>
      <c r="F31" s="92"/>
      <c r="G31" s="92"/>
      <c r="H31" s="92"/>
      <c r="I31" s="92"/>
      <c r="J31" s="92"/>
      <c r="K31" s="92"/>
    </row>
    <row r="32" spans="2:11" x14ac:dyDescent="0.25">
      <c r="B32" s="89">
        <v>40764.409008000002</v>
      </c>
      <c r="C32" s="90">
        <v>7927</v>
      </c>
      <c r="D32" s="91">
        <v>8.5399999999999991</v>
      </c>
      <c r="E32" s="92"/>
      <c r="F32" s="92"/>
      <c r="G32" s="92"/>
      <c r="H32" s="92"/>
      <c r="I32" s="92"/>
      <c r="J32" s="92"/>
      <c r="K32" s="92"/>
    </row>
    <row r="33" spans="2:11" x14ac:dyDescent="0.25">
      <c r="B33" s="89">
        <v>40765.505279999998</v>
      </c>
      <c r="C33" s="90">
        <v>7927</v>
      </c>
      <c r="D33" s="91">
        <v>4.87</v>
      </c>
      <c r="E33" s="92"/>
      <c r="F33" s="92"/>
      <c r="G33" s="92"/>
      <c r="H33" s="92"/>
      <c r="I33" s="92"/>
      <c r="J33" s="92"/>
      <c r="K33" s="92"/>
    </row>
    <row r="34" spans="2:11" x14ac:dyDescent="0.25">
      <c r="B34" s="89">
        <v>40765.890657999997</v>
      </c>
      <c r="C34" s="90">
        <v>4277</v>
      </c>
      <c r="D34" s="91">
        <v>18.7</v>
      </c>
      <c r="E34" s="92"/>
      <c r="F34" s="92"/>
      <c r="G34" s="92"/>
      <c r="H34" s="92"/>
      <c r="I34" s="92"/>
      <c r="J34" s="92"/>
      <c r="K34" s="92"/>
    </row>
    <row r="35" spans="2:11" x14ac:dyDescent="0.25">
      <c r="B35" s="89">
        <v>40765.910261999998</v>
      </c>
      <c r="C35" s="90">
        <v>5031</v>
      </c>
      <c r="D35" s="91">
        <v>3.29</v>
      </c>
      <c r="E35" s="92"/>
      <c r="F35" s="92"/>
      <c r="G35" s="92"/>
      <c r="H35" s="92"/>
      <c r="I35" s="92"/>
      <c r="J35" s="92"/>
      <c r="K35" s="92"/>
    </row>
    <row r="36" spans="2:11" x14ac:dyDescent="0.25">
      <c r="B36" s="89">
        <v>40766.751561999998</v>
      </c>
      <c r="C36" s="90">
        <v>4172</v>
      </c>
      <c r="D36" s="91">
        <v>21.1</v>
      </c>
      <c r="E36" s="92"/>
      <c r="F36" s="92"/>
      <c r="G36" s="92"/>
      <c r="H36" s="92"/>
      <c r="I36" s="92"/>
      <c r="J36" s="92"/>
      <c r="K36" s="92"/>
    </row>
    <row r="37" spans="2:11" x14ac:dyDescent="0.25">
      <c r="B37" s="89">
        <v>40766.841718000003</v>
      </c>
      <c r="C37" s="90">
        <v>5056</v>
      </c>
      <c r="D37" s="91">
        <v>16.46</v>
      </c>
      <c r="E37" s="92"/>
      <c r="F37" s="92"/>
      <c r="G37" s="92"/>
      <c r="H37" s="92"/>
      <c r="I37" s="92"/>
      <c r="J37" s="92"/>
      <c r="K37" s="92"/>
    </row>
    <row r="38" spans="2:11" x14ac:dyDescent="0.25">
      <c r="B38" s="89">
        <v>40767.456824000001</v>
      </c>
      <c r="C38" s="90">
        <v>6329</v>
      </c>
      <c r="D38" s="91">
        <v>22.8</v>
      </c>
      <c r="E38" s="92"/>
      <c r="F38" s="92"/>
      <c r="G38" s="92"/>
      <c r="H38" s="92"/>
      <c r="I38" s="92"/>
      <c r="J38" s="92"/>
      <c r="K38" s="92"/>
    </row>
    <row r="39" spans="2:11" x14ac:dyDescent="0.25">
      <c r="B39" s="89">
        <v>40767.481101999998</v>
      </c>
      <c r="C39" s="90">
        <v>4329</v>
      </c>
      <c r="D39" s="91">
        <v>28.4</v>
      </c>
      <c r="E39" s="92"/>
      <c r="F39" s="92"/>
      <c r="G39" s="92"/>
      <c r="H39" s="92"/>
      <c r="I39" s="92"/>
      <c r="J39" s="92"/>
      <c r="K39" s="92"/>
    </row>
    <row r="40" spans="2:11" x14ac:dyDescent="0.25">
      <c r="B40" s="89">
        <v>40767.539628999999</v>
      </c>
      <c r="C40" s="90">
        <v>6132</v>
      </c>
      <c r="D40" s="91">
        <v>8.17</v>
      </c>
      <c r="E40" s="92"/>
      <c r="F40" s="92"/>
      <c r="G40" s="92"/>
      <c r="H40" s="92"/>
      <c r="I40" s="92"/>
      <c r="J40" s="92"/>
      <c r="K40" s="92"/>
    </row>
    <row r="41" spans="2:11" x14ac:dyDescent="0.25">
      <c r="B41" s="89">
        <v>40767.559364000001</v>
      </c>
      <c r="C41" s="90">
        <v>8103</v>
      </c>
      <c r="D41" s="91">
        <v>6.43</v>
      </c>
      <c r="E41" s="92"/>
      <c r="F41" s="92"/>
      <c r="G41" s="92"/>
      <c r="H41" s="92"/>
      <c r="I41" s="92"/>
      <c r="J41" s="92"/>
      <c r="K41" s="92"/>
    </row>
    <row r="42" spans="2:11" x14ac:dyDescent="0.25">
      <c r="B42" s="89">
        <v>40767.615509000003</v>
      </c>
      <c r="C42" s="90">
        <v>4205</v>
      </c>
      <c r="D42" s="91">
        <v>17.32</v>
      </c>
      <c r="E42" s="92"/>
      <c r="F42" s="92"/>
      <c r="G42" s="92"/>
      <c r="H42" s="92"/>
      <c r="I42" s="92"/>
      <c r="J42" s="92"/>
      <c r="K42" s="92"/>
    </row>
    <row r="43" spans="2:11" x14ac:dyDescent="0.25">
      <c r="B43" s="89">
        <v>40767.658124000001</v>
      </c>
      <c r="C43" s="90">
        <v>5031</v>
      </c>
      <c r="D43" s="91">
        <v>16.62</v>
      </c>
      <c r="E43" s="92"/>
      <c r="F43" s="92"/>
      <c r="G43" s="92"/>
      <c r="H43" s="92"/>
      <c r="I43" s="92"/>
      <c r="J43" s="92"/>
      <c r="K43" s="92"/>
    </row>
    <row r="44" spans="2:11" x14ac:dyDescent="0.25">
      <c r="B44" s="89">
        <v>40767.677883999997</v>
      </c>
      <c r="C44" s="90">
        <v>6329</v>
      </c>
      <c r="D44" s="91">
        <v>24.32</v>
      </c>
      <c r="E44" s="92"/>
      <c r="F44" s="92"/>
      <c r="G44" s="92"/>
      <c r="H44" s="92"/>
      <c r="I44" s="92"/>
      <c r="J44" s="92"/>
      <c r="K44" s="92"/>
    </row>
    <row r="45" spans="2:11" x14ac:dyDescent="0.25">
      <c r="B45" s="89">
        <v>40768.460862</v>
      </c>
      <c r="C45" s="90">
        <v>5031</v>
      </c>
      <c r="D45" s="91">
        <v>28.16</v>
      </c>
      <c r="E45" s="92"/>
      <c r="F45" s="92"/>
      <c r="G45" s="92"/>
      <c r="H45" s="92"/>
      <c r="I45" s="92"/>
      <c r="J45" s="92"/>
      <c r="K45" s="92"/>
    </row>
    <row r="46" spans="2:11" x14ac:dyDescent="0.25">
      <c r="B46" s="89">
        <v>40768.799808000003</v>
      </c>
      <c r="C46" s="90">
        <v>8234</v>
      </c>
      <c r="D46" s="91">
        <v>5.95</v>
      </c>
      <c r="E46" s="92"/>
      <c r="F46" s="92"/>
      <c r="G46" s="92"/>
      <c r="H46" s="92"/>
      <c r="I46" s="92"/>
      <c r="J46" s="92"/>
      <c r="K46" s="92"/>
    </row>
    <row r="47" spans="2:11" x14ac:dyDescent="0.25">
      <c r="B47" s="89">
        <v>40770.371530999997</v>
      </c>
      <c r="C47" s="90">
        <v>4556</v>
      </c>
      <c r="D47" s="91">
        <v>12.51</v>
      </c>
      <c r="E47" s="92"/>
      <c r="F47" s="92"/>
      <c r="G47" s="92"/>
      <c r="H47" s="92"/>
      <c r="I47" s="92"/>
      <c r="J47" s="92"/>
      <c r="K47" s="92"/>
    </row>
    <row r="48" spans="2:11" x14ac:dyDescent="0.25">
      <c r="B48" s="89">
        <v>40770.429205</v>
      </c>
      <c r="C48" s="90">
        <v>7927</v>
      </c>
      <c r="D48" s="91">
        <v>24.86</v>
      </c>
      <c r="E48" s="92"/>
      <c r="F48" s="92"/>
      <c r="G48" s="92"/>
      <c r="H48" s="92"/>
      <c r="I48" s="92"/>
      <c r="J48" s="92"/>
      <c r="K48" s="92"/>
    </row>
    <row r="49" spans="2:11" x14ac:dyDescent="0.25">
      <c r="B49" s="89">
        <v>40770.438833</v>
      </c>
      <c r="C49" s="90">
        <v>8234</v>
      </c>
      <c r="D49" s="91">
        <v>25</v>
      </c>
      <c r="E49" s="92"/>
      <c r="F49" s="92"/>
      <c r="G49" s="92"/>
      <c r="H49" s="92"/>
      <c r="I49" s="92"/>
      <c r="J49" s="92"/>
      <c r="K49" s="92"/>
    </row>
    <row r="50" spans="2:11" x14ac:dyDescent="0.25">
      <c r="B50" s="89">
        <v>40770.784586000002</v>
      </c>
      <c r="C50" s="90">
        <v>8234</v>
      </c>
      <c r="D50" s="91">
        <v>23.1</v>
      </c>
      <c r="E50" s="92"/>
      <c r="F50" s="92"/>
      <c r="G50" s="92"/>
      <c r="H50" s="92"/>
      <c r="I50" s="92"/>
      <c r="J50" s="92"/>
      <c r="K50" s="92"/>
    </row>
    <row r="51" spans="2:11" x14ac:dyDescent="0.25">
      <c r="B51" s="89">
        <v>40771.591441999997</v>
      </c>
      <c r="C51" s="90">
        <v>8520</v>
      </c>
      <c r="D51" s="91">
        <v>13.52</v>
      </c>
      <c r="E51" s="92"/>
      <c r="F51" s="92"/>
      <c r="G51" s="92"/>
      <c r="H51" s="92"/>
      <c r="I51" s="92"/>
      <c r="J51" s="92"/>
      <c r="K51" s="92"/>
    </row>
    <row r="52" spans="2:11" x14ac:dyDescent="0.25">
      <c r="B52" s="89">
        <v>40771.670239999999</v>
      </c>
      <c r="C52" s="90">
        <v>4205</v>
      </c>
      <c r="D52" s="91">
        <v>8.84</v>
      </c>
      <c r="E52" s="92"/>
      <c r="F52" s="92"/>
      <c r="G52" s="92"/>
      <c r="H52" s="92"/>
      <c r="I52" s="92"/>
      <c r="J52" s="92"/>
      <c r="K52" s="92"/>
    </row>
    <row r="53" spans="2:11" x14ac:dyDescent="0.25">
      <c r="B53" s="89">
        <v>40773.460274999998</v>
      </c>
      <c r="C53" s="90">
        <v>5031</v>
      </c>
      <c r="D53" s="91">
        <v>13.15</v>
      </c>
      <c r="E53" s="92"/>
      <c r="F53" s="92"/>
      <c r="G53" s="92"/>
      <c r="H53" s="92"/>
      <c r="I53" s="92"/>
      <c r="J53" s="92"/>
      <c r="K53" s="92"/>
    </row>
    <row r="54" spans="2:11" x14ac:dyDescent="0.25">
      <c r="B54" s="89">
        <v>40773.565961</v>
      </c>
      <c r="C54" s="90">
        <v>4931</v>
      </c>
      <c r="D54" s="91">
        <v>25.66</v>
      </c>
      <c r="E54" s="92"/>
      <c r="F54" s="92"/>
      <c r="G54" s="92"/>
      <c r="H54" s="92"/>
      <c r="I54" s="92"/>
      <c r="J54" s="92"/>
      <c r="K54" s="92"/>
    </row>
    <row r="55" spans="2:11" x14ac:dyDescent="0.25">
      <c r="B55" s="89">
        <v>40773.880570000001</v>
      </c>
      <c r="C55" s="90">
        <v>4205</v>
      </c>
      <c r="D55" s="91">
        <v>14.54</v>
      </c>
      <c r="E55" s="92"/>
      <c r="F55" s="92"/>
      <c r="G55" s="92"/>
      <c r="H55" s="92"/>
      <c r="I55" s="92"/>
      <c r="J55" s="92"/>
      <c r="K55" s="92"/>
    </row>
    <row r="56" spans="2:11" ht="15" customHeight="1" x14ac:dyDescent="0.25">
      <c r="B56" s="89">
        <v>40774.473898999997</v>
      </c>
      <c r="C56" s="90">
        <v>4172</v>
      </c>
      <c r="D56" s="91">
        <v>20.18</v>
      </c>
      <c r="E56" s="92"/>
      <c r="F56" s="92"/>
      <c r="G56" s="92"/>
      <c r="H56" s="92"/>
      <c r="I56" s="92"/>
      <c r="J56" s="92"/>
      <c r="K56" s="92"/>
    </row>
    <row r="57" spans="2:11" x14ac:dyDescent="0.25">
      <c r="B57" s="89">
        <v>40774.582839000002</v>
      </c>
      <c r="C57" s="90">
        <v>8520</v>
      </c>
      <c r="D57" s="91">
        <v>28.14</v>
      </c>
      <c r="E57" s="92"/>
      <c r="F57" s="92"/>
      <c r="G57" s="92"/>
      <c r="H57" s="92"/>
      <c r="I57" s="92"/>
      <c r="J57" s="92"/>
      <c r="K57" s="92"/>
    </row>
    <row r="58" spans="2:11" x14ac:dyDescent="0.25">
      <c r="B58" s="89">
        <v>40775.492152999999</v>
      </c>
      <c r="C58" s="90">
        <v>4556</v>
      </c>
      <c r="D58" s="91">
        <v>14.99</v>
      </c>
      <c r="E58" s="92"/>
      <c r="F58" s="92"/>
      <c r="G58" s="92"/>
      <c r="H58" s="92"/>
      <c r="I58" s="92"/>
      <c r="J58" s="92"/>
      <c r="K58" s="92"/>
    </row>
    <row r="59" spans="2:11" x14ac:dyDescent="0.25">
      <c r="B59" s="89">
        <v>40775.531251</v>
      </c>
      <c r="C59" s="90">
        <v>4556</v>
      </c>
      <c r="D59" s="91">
        <v>25.56</v>
      </c>
      <c r="E59" s="92"/>
      <c r="F59" s="92"/>
      <c r="G59" s="92"/>
      <c r="H59" s="92"/>
      <c r="I59" s="92"/>
      <c r="J59" s="92"/>
      <c r="K59" s="92"/>
    </row>
    <row r="60" spans="2:11" x14ac:dyDescent="0.25">
      <c r="B60" s="89">
        <v>40775.543906999999</v>
      </c>
      <c r="C60" s="90">
        <v>4670</v>
      </c>
      <c r="D60" s="91">
        <v>25.52</v>
      </c>
      <c r="E60" s="92"/>
      <c r="F60" s="92"/>
      <c r="G60" s="92"/>
      <c r="H60" s="92"/>
      <c r="I60" s="92"/>
      <c r="J60" s="92"/>
      <c r="K60" s="92"/>
    </row>
    <row r="61" spans="2:11" x14ac:dyDescent="0.25">
      <c r="B61" s="89">
        <v>40775.780793999998</v>
      </c>
      <c r="C61" s="90">
        <v>6329</v>
      </c>
      <c r="D61" s="91">
        <v>23.98</v>
      </c>
      <c r="E61" s="92"/>
      <c r="F61" s="92"/>
      <c r="G61" s="92"/>
      <c r="H61" s="92"/>
      <c r="I61" s="92"/>
      <c r="J61" s="92"/>
      <c r="K61" s="92"/>
    </row>
    <row r="62" spans="2:11" x14ac:dyDescent="0.25">
      <c r="B62" s="89">
        <v>40777.731125999999</v>
      </c>
      <c r="C62" s="90">
        <v>8103</v>
      </c>
      <c r="D62" s="91">
        <v>19.11</v>
      </c>
      <c r="E62" s="92"/>
      <c r="F62" s="92"/>
      <c r="G62" s="92"/>
      <c r="H62" s="92"/>
      <c r="I62" s="92"/>
      <c r="J62" s="92"/>
      <c r="K62" s="92"/>
    </row>
    <row r="63" spans="2:11" x14ac:dyDescent="0.25">
      <c r="B63" s="89">
        <v>40778.512032999999</v>
      </c>
      <c r="C63" s="90">
        <v>6158</v>
      </c>
      <c r="D63" s="91">
        <v>7.53</v>
      </c>
      <c r="E63" s="92"/>
      <c r="F63" s="92"/>
      <c r="G63" s="92"/>
      <c r="H63" s="92"/>
      <c r="I63" s="92"/>
      <c r="J63" s="92"/>
      <c r="K63" s="92"/>
    </row>
    <row r="64" spans="2:11" x14ac:dyDescent="0.25">
      <c r="B64" s="89">
        <v>40778.589545000003</v>
      </c>
      <c r="C64" s="90">
        <v>4556</v>
      </c>
      <c r="D64" s="91">
        <v>5.0999999999999996</v>
      </c>
      <c r="E64" s="92"/>
      <c r="F64" s="92"/>
      <c r="G64" s="92"/>
      <c r="H64" s="92"/>
      <c r="I64" s="92"/>
      <c r="J64" s="92"/>
      <c r="K64" s="92"/>
    </row>
    <row r="65" spans="2:11" x14ac:dyDescent="0.25">
      <c r="B65" s="89">
        <v>40778.841679999998</v>
      </c>
      <c r="C65" s="90">
        <v>7927</v>
      </c>
      <c r="D65" s="91">
        <v>6.44</v>
      </c>
      <c r="E65" s="92"/>
      <c r="F65" s="92"/>
      <c r="G65" s="92"/>
      <c r="H65" s="92"/>
      <c r="I65" s="92"/>
      <c r="J65" s="92"/>
      <c r="K65" s="92"/>
    </row>
    <row r="66" spans="2:11" x14ac:dyDescent="0.25">
      <c r="B66" s="89">
        <v>40779.526599999997</v>
      </c>
      <c r="C66" s="90">
        <v>8234</v>
      </c>
      <c r="D66" s="91">
        <v>24.26</v>
      </c>
      <c r="E66" s="92"/>
      <c r="F66" s="92"/>
      <c r="G66" s="92"/>
      <c r="H66" s="92"/>
      <c r="I66" s="92"/>
      <c r="J66" s="92"/>
      <c r="K66" s="92"/>
    </row>
    <row r="67" spans="2:11" x14ac:dyDescent="0.25">
      <c r="B67" s="89">
        <v>40781.681087999998</v>
      </c>
      <c r="C67" s="90">
        <v>4329</v>
      </c>
      <c r="D67" s="91">
        <v>24.13</v>
      </c>
      <c r="E67" s="92"/>
      <c r="F67" s="92"/>
      <c r="G67" s="92"/>
      <c r="H67" s="92"/>
      <c r="I67" s="92"/>
      <c r="J67" s="92"/>
      <c r="K67" s="92"/>
    </row>
    <row r="68" spans="2:11" x14ac:dyDescent="0.25">
      <c r="B68" s="89">
        <v>40781.717627999999</v>
      </c>
      <c r="C68" s="90">
        <v>4205</v>
      </c>
      <c r="D68" s="91">
        <v>12.07</v>
      </c>
      <c r="E68" s="92"/>
      <c r="F68" s="92"/>
      <c r="G68" s="92"/>
      <c r="H68" s="92"/>
      <c r="I68" s="92"/>
      <c r="J68" s="92"/>
      <c r="K68" s="92"/>
    </row>
    <row r="69" spans="2:11" x14ac:dyDescent="0.25">
      <c r="B69" s="89">
        <v>40782.598417000001</v>
      </c>
      <c r="C69" s="90">
        <v>5056</v>
      </c>
      <c r="D69" s="91">
        <v>22.83</v>
      </c>
      <c r="E69" s="92"/>
      <c r="F69" s="92"/>
      <c r="G69" s="92"/>
      <c r="H69" s="92"/>
      <c r="I69" s="92"/>
      <c r="J69" s="92"/>
      <c r="K69" s="92"/>
    </row>
    <row r="70" spans="2:11" x14ac:dyDescent="0.25">
      <c r="B70" s="89">
        <v>40782.740048</v>
      </c>
      <c r="C70" s="90">
        <v>5056</v>
      </c>
      <c r="D70" s="91">
        <v>4.1399999999999997</v>
      </c>
      <c r="E70" s="92"/>
      <c r="F70" s="92"/>
      <c r="G70" s="92"/>
      <c r="H70" s="92"/>
      <c r="I70" s="92"/>
      <c r="J70" s="92"/>
      <c r="K70" s="92"/>
    </row>
    <row r="71" spans="2:11" x14ac:dyDescent="0.25">
      <c r="B71" s="89">
        <v>40784.351818000003</v>
      </c>
      <c r="C71" s="90">
        <v>6132</v>
      </c>
      <c r="D71" s="91">
        <v>10.62</v>
      </c>
      <c r="E71" s="92"/>
      <c r="F71" s="92"/>
      <c r="G71" s="92"/>
      <c r="H71" s="92"/>
      <c r="I71" s="92"/>
      <c r="J71" s="92"/>
      <c r="K71" s="92"/>
    </row>
    <row r="72" spans="2:11" x14ac:dyDescent="0.25">
      <c r="B72" s="89">
        <v>40784.442599000002</v>
      </c>
      <c r="C72" s="90">
        <v>4172</v>
      </c>
      <c r="D72" s="91">
        <v>8.02</v>
      </c>
      <c r="E72" s="92"/>
      <c r="F72" s="92"/>
      <c r="G72" s="92"/>
      <c r="H72" s="92"/>
      <c r="I72" s="92"/>
      <c r="J72" s="92"/>
      <c r="K72" s="92"/>
    </row>
    <row r="73" spans="2:11" x14ac:dyDescent="0.25">
      <c r="B73" s="89">
        <v>40784.882173999998</v>
      </c>
      <c r="C73" s="90">
        <v>4931</v>
      </c>
      <c r="D73" s="91">
        <v>9</v>
      </c>
      <c r="E73" s="92"/>
      <c r="F73" s="92"/>
      <c r="G73" s="92"/>
      <c r="H73" s="92"/>
      <c r="I73" s="92"/>
      <c r="J73" s="92"/>
      <c r="K73" s="92"/>
    </row>
    <row r="74" spans="2:11" x14ac:dyDescent="0.25">
      <c r="B74" s="89">
        <v>40784.910421</v>
      </c>
      <c r="C74" s="90">
        <v>7927</v>
      </c>
      <c r="D74" s="91">
        <v>24.38</v>
      </c>
      <c r="E74" s="92"/>
      <c r="F74" s="92"/>
      <c r="G74" s="92"/>
      <c r="H74" s="92"/>
      <c r="I74" s="92"/>
      <c r="J74" s="92"/>
      <c r="K74" s="92"/>
    </row>
    <row r="75" spans="2:11" x14ac:dyDescent="0.25">
      <c r="B75" s="89">
        <v>40785.616306999997</v>
      </c>
      <c r="C75" s="90">
        <v>4172</v>
      </c>
      <c r="D75" s="91">
        <v>13.71</v>
      </c>
      <c r="E75" s="92"/>
      <c r="F75" s="92"/>
      <c r="G75" s="92"/>
      <c r="H75" s="92"/>
      <c r="I75" s="92"/>
      <c r="J75" s="92"/>
      <c r="K75" s="92"/>
    </row>
    <row r="76" spans="2:11" x14ac:dyDescent="0.25">
      <c r="B76" s="89">
        <v>40785.830413000003</v>
      </c>
      <c r="C76" s="90">
        <v>4931</v>
      </c>
      <c r="D76" s="91">
        <v>22.14</v>
      </c>
      <c r="E76" s="92"/>
      <c r="F76" s="92"/>
      <c r="G76" s="92"/>
      <c r="H76" s="92"/>
      <c r="I76" s="92"/>
      <c r="J76" s="92"/>
      <c r="K76" s="92"/>
    </row>
    <row r="77" spans="2:11" x14ac:dyDescent="0.25">
      <c r="B77" s="89">
        <v>40786.461585999998</v>
      </c>
      <c r="C77" s="90">
        <v>4172</v>
      </c>
      <c r="D77" s="91">
        <v>23.59</v>
      </c>
      <c r="E77" s="92"/>
      <c r="F77" s="92"/>
      <c r="G77" s="92"/>
      <c r="H77" s="92"/>
      <c r="I77" s="92"/>
      <c r="J77" s="92"/>
      <c r="K77" s="92"/>
    </row>
    <row r="78" spans="2:11" x14ac:dyDescent="0.25">
      <c r="B78" s="89">
        <v>40786.675453000003</v>
      </c>
      <c r="C78" s="90">
        <v>4205</v>
      </c>
      <c r="D78" s="91">
        <v>17.54</v>
      </c>
      <c r="E78" s="92"/>
      <c r="F78" s="92"/>
      <c r="G78" s="92"/>
      <c r="H78" s="92"/>
      <c r="I78" s="92"/>
      <c r="J78" s="92"/>
      <c r="K78" s="92"/>
    </row>
    <row r="79" spans="2:11" x14ac:dyDescent="0.25">
      <c r="B79" s="89">
        <v>40786.683317000003</v>
      </c>
      <c r="C79" s="90">
        <v>7927</v>
      </c>
      <c r="D79" s="91">
        <v>18.98</v>
      </c>
      <c r="E79" s="92"/>
      <c r="F79" s="92"/>
      <c r="G79" s="92"/>
      <c r="H79" s="92"/>
      <c r="I79" s="92"/>
      <c r="J79" s="92"/>
      <c r="K79" s="92"/>
    </row>
    <row r="80" spans="2:11" x14ac:dyDescent="0.25">
      <c r="B80" s="89">
        <v>40786.829941999997</v>
      </c>
      <c r="C80" s="90">
        <v>8234</v>
      </c>
      <c r="D80" s="91">
        <v>28.87</v>
      </c>
      <c r="E80" s="92"/>
      <c r="F80" s="92"/>
      <c r="G80" s="92"/>
      <c r="H80" s="92"/>
      <c r="I80" s="92"/>
      <c r="J80" s="92"/>
      <c r="K80" s="92"/>
    </row>
    <row r="81" spans="2:11" x14ac:dyDescent="0.25">
      <c r="B81" s="89">
        <v>40786.832489</v>
      </c>
      <c r="C81" s="90">
        <v>8103</v>
      </c>
      <c r="D81" s="91">
        <v>4.9400000000000004</v>
      </c>
      <c r="E81" s="92"/>
      <c r="F81" s="92"/>
      <c r="G81" s="92"/>
      <c r="H81" s="92"/>
      <c r="I81" s="92"/>
      <c r="J81" s="92"/>
      <c r="K81" s="92"/>
    </row>
  </sheetData>
  <mergeCells count="1">
    <mergeCell ref="B2:K7"/>
  </mergeCells>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51"/>
  <dimension ref="A1:W44"/>
  <sheetViews>
    <sheetView zoomScaleNormal="100" workbookViewId="0"/>
  </sheetViews>
  <sheetFormatPr defaultRowHeight="15" x14ac:dyDescent="0.25"/>
  <cols>
    <col min="2" max="2" width="31.140625" bestFit="1" customWidth="1"/>
    <col min="3" max="5" width="12.5703125" bestFit="1" customWidth="1"/>
    <col min="6" max="6" width="2.5703125" customWidth="1"/>
    <col min="8" max="8" width="31.140625" bestFit="1" customWidth="1"/>
    <col min="9" max="9" width="11.42578125" bestFit="1" customWidth="1"/>
    <col min="10" max="10" width="11.140625" bestFit="1" customWidth="1"/>
    <col min="11" max="11" width="12.85546875" bestFit="1" customWidth="1"/>
    <col min="12" max="12" width="14.140625" customWidth="1"/>
    <col min="13" max="13" width="2.140625" customWidth="1"/>
  </cols>
  <sheetData>
    <row r="1" spans="1:21" ht="15.75" thickBot="1" x14ac:dyDescent="0.3">
      <c r="A1" s="93"/>
    </row>
    <row r="2" spans="1:21" ht="15" customHeight="1" x14ac:dyDescent="0.25">
      <c r="B2" s="163" t="s">
        <v>105</v>
      </c>
      <c r="C2" s="164"/>
      <c r="D2" s="164"/>
      <c r="E2" s="164"/>
      <c r="F2" s="165"/>
      <c r="H2" s="163" t="s">
        <v>106</v>
      </c>
      <c r="I2" s="164"/>
      <c r="J2" s="164"/>
      <c r="K2" s="164"/>
      <c r="L2" s="164"/>
      <c r="M2" s="165"/>
      <c r="O2" s="154" t="s">
        <v>107</v>
      </c>
      <c r="P2" s="155"/>
      <c r="Q2" s="155"/>
      <c r="R2" s="155"/>
      <c r="S2" s="155"/>
      <c r="T2" s="155"/>
      <c r="U2" s="156"/>
    </row>
    <row r="3" spans="1:21" x14ac:dyDescent="0.25">
      <c r="B3" s="14" t="s">
        <v>108</v>
      </c>
      <c r="C3" s="94" t="s">
        <v>109</v>
      </c>
      <c r="D3" s="94" t="s">
        <v>110</v>
      </c>
      <c r="E3" s="94" t="s">
        <v>111</v>
      </c>
      <c r="F3" s="95"/>
      <c r="H3" s="96" t="s">
        <v>112</v>
      </c>
      <c r="I3" s="36">
        <v>100</v>
      </c>
      <c r="J3" s="18"/>
      <c r="K3" s="18"/>
      <c r="L3" s="18"/>
      <c r="M3" s="95"/>
      <c r="O3" s="157"/>
      <c r="P3" s="158"/>
      <c r="Q3" s="158"/>
      <c r="R3" s="158"/>
      <c r="S3" s="158"/>
      <c r="T3" s="158"/>
      <c r="U3" s="159"/>
    </row>
    <row r="4" spans="1:21" x14ac:dyDescent="0.25">
      <c r="B4" s="96" t="s">
        <v>113</v>
      </c>
      <c r="C4" s="97">
        <v>0.4</v>
      </c>
      <c r="D4" s="97">
        <v>0.6</v>
      </c>
      <c r="E4" s="97">
        <v>0.7</v>
      </c>
      <c r="F4" s="95"/>
      <c r="H4" s="96"/>
      <c r="I4" s="18"/>
      <c r="J4" s="18"/>
      <c r="K4" s="18"/>
      <c r="L4" s="18"/>
      <c r="M4" s="95"/>
      <c r="O4" s="157"/>
      <c r="P4" s="158"/>
      <c r="Q4" s="158"/>
      <c r="R4" s="158"/>
      <c r="S4" s="158"/>
      <c r="T4" s="158"/>
      <c r="U4" s="159"/>
    </row>
    <row r="5" spans="1:21" x14ac:dyDescent="0.25">
      <c r="B5" s="96" t="s">
        <v>114</v>
      </c>
      <c r="C5" s="97">
        <v>0.2</v>
      </c>
      <c r="D5" s="97">
        <v>0.1</v>
      </c>
      <c r="E5" s="97">
        <v>0.05</v>
      </c>
      <c r="F5" s="95"/>
      <c r="H5" s="98" t="s">
        <v>115</v>
      </c>
      <c r="I5" s="15" t="s">
        <v>116</v>
      </c>
      <c r="J5" s="94" t="s">
        <v>109</v>
      </c>
      <c r="K5" s="94" t="s">
        <v>110</v>
      </c>
      <c r="L5" s="94" t="s">
        <v>111</v>
      </c>
      <c r="M5" s="95"/>
      <c r="O5" s="157"/>
      <c r="P5" s="158"/>
      <c r="Q5" s="158"/>
      <c r="R5" s="158"/>
      <c r="S5" s="158"/>
      <c r="T5" s="158"/>
      <c r="U5" s="159"/>
    </row>
    <row r="6" spans="1:21" x14ac:dyDescent="0.25">
      <c r="B6" s="96" t="s">
        <v>117</v>
      </c>
      <c r="C6" s="99">
        <v>5000</v>
      </c>
      <c r="D6" s="99">
        <v>10000</v>
      </c>
      <c r="E6" s="99">
        <v>20000</v>
      </c>
      <c r="F6" s="95"/>
      <c r="H6" s="96" t="s">
        <v>118</v>
      </c>
      <c r="I6" s="100"/>
      <c r="J6" s="101"/>
      <c r="K6" s="101"/>
      <c r="L6" s="101"/>
      <c r="M6" s="95"/>
      <c r="O6" s="157"/>
      <c r="P6" s="158"/>
      <c r="Q6" s="158"/>
      <c r="R6" s="158"/>
      <c r="S6" s="158"/>
      <c r="T6" s="158"/>
      <c r="U6" s="159"/>
    </row>
    <row r="7" spans="1:21" x14ac:dyDescent="0.25">
      <c r="B7" s="96" t="s">
        <v>119</v>
      </c>
      <c r="C7" s="102">
        <v>5.0000000000000001E-4</v>
      </c>
      <c r="D7" s="102">
        <v>2E-3</v>
      </c>
      <c r="E7" s="102">
        <v>2.9999999999999997E-4</v>
      </c>
      <c r="F7" s="95"/>
      <c r="H7" s="96" t="s">
        <v>120</v>
      </c>
      <c r="I7" s="100"/>
      <c r="J7" s="101"/>
      <c r="K7" s="101"/>
      <c r="L7" s="101"/>
      <c r="M7" s="95"/>
      <c r="O7" s="157"/>
      <c r="P7" s="158"/>
      <c r="Q7" s="158"/>
      <c r="R7" s="158"/>
      <c r="S7" s="158"/>
      <c r="T7" s="158"/>
      <c r="U7" s="159"/>
    </row>
    <row r="8" spans="1:21" x14ac:dyDescent="0.25">
      <c r="B8" s="96" t="s">
        <v>121</v>
      </c>
      <c r="C8" s="103">
        <v>50</v>
      </c>
      <c r="D8" s="36"/>
      <c r="E8" s="36"/>
      <c r="F8" s="95"/>
      <c r="H8" s="96" t="s">
        <v>122</v>
      </c>
      <c r="I8" s="104"/>
      <c r="J8" s="101"/>
      <c r="K8" s="101"/>
      <c r="L8" s="101"/>
      <c r="M8" s="95"/>
      <c r="O8" s="157"/>
      <c r="P8" s="158"/>
      <c r="Q8" s="158"/>
      <c r="R8" s="158"/>
      <c r="S8" s="158"/>
      <c r="T8" s="158"/>
      <c r="U8" s="159"/>
    </row>
    <row r="9" spans="1:21" ht="15.75" thickBot="1" x14ac:dyDescent="0.3">
      <c r="B9" s="105" t="s">
        <v>123</v>
      </c>
      <c r="C9" s="106">
        <v>100000</v>
      </c>
      <c r="D9" s="21"/>
      <c r="E9" s="21"/>
      <c r="F9" s="107"/>
      <c r="H9" s="96"/>
      <c r="I9" s="18"/>
      <c r="J9" s="18"/>
      <c r="K9" s="18"/>
      <c r="L9" s="18"/>
      <c r="M9" s="95"/>
      <c r="O9" s="157"/>
      <c r="P9" s="158"/>
      <c r="Q9" s="158"/>
      <c r="R9" s="158"/>
      <c r="S9" s="158"/>
      <c r="T9" s="158"/>
      <c r="U9" s="159"/>
    </row>
    <row r="10" spans="1:21" ht="15.75" thickBot="1" x14ac:dyDescent="0.3">
      <c r="H10" s="98" t="s">
        <v>108</v>
      </c>
      <c r="I10" s="94" t="s">
        <v>109</v>
      </c>
      <c r="J10" s="94" t="s">
        <v>110</v>
      </c>
      <c r="K10" s="94" t="s">
        <v>111</v>
      </c>
      <c r="L10" s="18"/>
      <c r="M10" s="95"/>
      <c r="O10" s="157"/>
      <c r="P10" s="158"/>
      <c r="Q10" s="158"/>
      <c r="R10" s="158"/>
      <c r="S10" s="158"/>
      <c r="T10" s="158"/>
      <c r="U10" s="159"/>
    </row>
    <row r="11" spans="1:21" x14ac:dyDescent="0.25">
      <c r="B11" s="163" t="s">
        <v>124</v>
      </c>
      <c r="C11" s="164"/>
      <c r="D11" s="164"/>
      <c r="E11" s="164"/>
      <c r="F11" s="165"/>
      <c r="H11" s="96" t="s">
        <v>125</v>
      </c>
      <c r="I11" s="100"/>
      <c r="J11" s="100"/>
      <c r="K11" s="100"/>
      <c r="L11" s="18"/>
      <c r="M11" s="95"/>
      <c r="O11" s="157"/>
      <c r="P11" s="158"/>
      <c r="Q11" s="158"/>
      <c r="R11" s="158"/>
      <c r="S11" s="158"/>
      <c r="T11" s="158"/>
      <c r="U11" s="159"/>
    </row>
    <row r="12" spans="1:21" x14ac:dyDescent="0.25">
      <c r="B12" s="96"/>
      <c r="C12" s="18"/>
      <c r="D12" s="18"/>
      <c r="E12" s="18"/>
      <c r="F12" s="95"/>
      <c r="H12" s="96"/>
      <c r="I12" s="18"/>
      <c r="J12" s="18"/>
      <c r="K12" s="18"/>
      <c r="L12" s="18"/>
      <c r="M12" s="95"/>
      <c r="O12" s="157"/>
      <c r="P12" s="158"/>
      <c r="Q12" s="158"/>
      <c r="R12" s="158"/>
      <c r="S12" s="158"/>
      <c r="T12" s="158"/>
      <c r="U12" s="159"/>
    </row>
    <row r="13" spans="1:21" ht="15" customHeight="1" x14ac:dyDescent="0.25">
      <c r="B13" s="193" t="s">
        <v>126</v>
      </c>
      <c r="C13" s="194"/>
      <c r="D13" s="194"/>
      <c r="E13" s="194"/>
      <c r="F13" s="195"/>
      <c r="H13" s="96" t="s">
        <v>116</v>
      </c>
      <c r="I13" s="36">
        <v>18000</v>
      </c>
      <c r="J13" s="18"/>
      <c r="K13" s="36"/>
      <c r="L13" s="18"/>
      <c r="M13" s="95"/>
      <c r="O13" s="157"/>
      <c r="P13" s="158"/>
      <c r="Q13" s="158"/>
      <c r="R13" s="158"/>
      <c r="S13" s="158"/>
      <c r="T13" s="158"/>
      <c r="U13" s="159"/>
    </row>
    <row r="14" spans="1:21" x14ac:dyDescent="0.25">
      <c r="B14" s="98" t="s">
        <v>108</v>
      </c>
      <c r="C14" s="94" t="s">
        <v>109</v>
      </c>
      <c r="D14" s="94" t="s">
        <v>110</v>
      </c>
      <c r="E14" s="94" t="s">
        <v>111</v>
      </c>
      <c r="F14" s="108"/>
      <c r="H14" s="96"/>
      <c r="I14" s="18"/>
      <c r="J14" s="18"/>
      <c r="K14" s="18"/>
      <c r="L14" s="18"/>
      <c r="M14" s="95"/>
      <c r="O14" s="157"/>
      <c r="P14" s="158"/>
      <c r="Q14" s="158"/>
      <c r="R14" s="158"/>
      <c r="S14" s="158"/>
      <c r="T14" s="158"/>
      <c r="U14" s="159"/>
    </row>
    <row r="15" spans="1:21" ht="15.75" thickBot="1" x14ac:dyDescent="0.3">
      <c r="B15" s="96" t="s">
        <v>127</v>
      </c>
      <c r="C15" s="101"/>
      <c r="D15" s="101"/>
      <c r="E15" s="101"/>
      <c r="F15" s="95"/>
      <c r="H15" s="98" t="s">
        <v>108</v>
      </c>
      <c r="I15" s="94" t="s">
        <v>109</v>
      </c>
      <c r="J15" s="94" t="s">
        <v>110</v>
      </c>
      <c r="K15" s="94" t="s">
        <v>111</v>
      </c>
      <c r="L15" s="94"/>
      <c r="M15" s="95"/>
      <c r="O15" s="160"/>
      <c r="P15" s="161"/>
      <c r="Q15" s="161"/>
      <c r="R15" s="161"/>
      <c r="S15" s="161"/>
      <c r="T15" s="161"/>
      <c r="U15" s="162"/>
    </row>
    <row r="16" spans="1:21" x14ac:dyDescent="0.25">
      <c r="B16" s="96" t="s">
        <v>113</v>
      </c>
      <c r="C16" s="101"/>
      <c r="D16" s="101"/>
      <c r="E16" s="101"/>
      <c r="F16" s="95"/>
      <c r="H16" s="96" t="s">
        <v>128</v>
      </c>
      <c r="I16" s="101"/>
      <c r="J16" s="101"/>
      <c r="K16" s="101"/>
      <c r="L16" s="57"/>
      <c r="M16" s="95"/>
      <c r="O16" s="35"/>
      <c r="P16" s="35"/>
      <c r="Q16" s="35"/>
      <c r="R16" s="35"/>
      <c r="S16" s="35"/>
      <c r="T16" s="35"/>
      <c r="U16" s="35"/>
    </row>
    <row r="17" spans="2:23" ht="15" customHeight="1" x14ac:dyDescent="0.25">
      <c r="B17" s="96" t="s">
        <v>126</v>
      </c>
      <c r="C17" s="101"/>
      <c r="D17" s="101"/>
      <c r="E17" s="101"/>
      <c r="F17" s="95"/>
      <c r="H17" s="96" t="s">
        <v>129</v>
      </c>
      <c r="I17" s="101"/>
      <c r="J17" s="101"/>
      <c r="K17" s="101"/>
      <c r="L17" s="57"/>
      <c r="M17" s="95"/>
      <c r="U17" s="35"/>
    </row>
    <row r="18" spans="2:23" ht="15.75" thickBot="1" x14ac:dyDescent="0.3">
      <c r="B18" s="96"/>
      <c r="C18" s="18"/>
      <c r="D18" s="18"/>
      <c r="E18" s="18"/>
      <c r="F18" s="95"/>
      <c r="H18" s="105" t="s">
        <v>130</v>
      </c>
      <c r="I18" s="109"/>
      <c r="J18" s="109"/>
      <c r="K18" s="109"/>
      <c r="L18" s="110"/>
      <c r="M18" s="107"/>
      <c r="U18" s="35"/>
    </row>
    <row r="19" spans="2:23" ht="15.75" thickBot="1" x14ac:dyDescent="0.3">
      <c r="B19" s="193" t="s">
        <v>131</v>
      </c>
      <c r="C19" s="194"/>
      <c r="D19" s="194"/>
      <c r="E19" s="194"/>
      <c r="F19" s="195"/>
    </row>
    <row r="20" spans="2:23" ht="15" customHeight="1" x14ac:dyDescent="0.25">
      <c r="B20" s="98" t="s">
        <v>108</v>
      </c>
      <c r="C20" s="94" t="s">
        <v>109</v>
      </c>
      <c r="D20" s="94" t="s">
        <v>110</v>
      </c>
      <c r="E20" s="94" t="s">
        <v>111</v>
      </c>
      <c r="F20" s="108"/>
      <c r="H20" s="163" t="s">
        <v>132</v>
      </c>
      <c r="I20" s="164"/>
      <c r="J20" s="164"/>
      <c r="K20" s="164"/>
      <c r="L20" s="164"/>
      <c r="M20" s="165"/>
    </row>
    <row r="21" spans="2:23" x14ac:dyDescent="0.25">
      <c r="B21" s="96" t="s">
        <v>133</v>
      </c>
      <c r="C21" s="101"/>
      <c r="D21" s="101"/>
      <c r="E21" s="101"/>
      <c r="F21" s="95"/>
      <c r="H21" s="96"/>
      <c r="I21" s="18"/>
      <c r="J21" s="194" t="s">
        <v>134</v>
      </c>
      <c r="K21" s="194"/>
      <c r="L21" s="194"/>
      <c r="M21" s="95"/>
    </row>
    <row r="22" spans="2:23" x14ac:dyDescent="0.25">
      <c r="B22" s="96" t="s">
        <v>135</v>
      </c>
      <c r="C22" s="101"/>
      <c r="D22" s="101"/>
      <c r="E22" s="101"/>
      <c r="F22" s="95"/>
      <c r="H22" s="96"/>
      <c r="I22" s="101"/>
      <c r="J22" s="111">
        <v>15000</v>
      </c>
      <c r="K22" s="111">
        <v>18000</v>
      </c>
      <c r="L22" s="36">
        <v>21000</v>
      </c>
      <c r="M22" s="95"/>
      <c r="W22" s="13"/>
    </row>
    <row r="23" spans="2:23" x14ac:dyDescent="0.25">
      <c r="B23" s="96" t="s">
        <v>117</v>
      </c>
      <c r="C23" s="101"/>
      <c r="D23" s="101"/>
      <c r="E23" s="101"/>
      <c r="F23" s="95"/>
      <c r="H23" s="199" t="s">
        <v>123</v>
      </c>
      <c r="I23" s="103">
        <v>50000</v>
      </c>
      <c r="J23" s="101"/>
      <c r="K23" s="101"/>
      <c r="L23" s="101"/>
      <c r="M23" s="95"/>
    </row>
    <row r="24" spans="2:23" x14ac:dyDescent="0.25">
      <c r="B24" s="96" t="s">
        <v>136</v>
      </c>
      <c r="C24" s="101"/>
      <c r="D24" s="101"/>
      <c r="E24" s="101"/>
      <c r="F24" s="95"/>
      <c r="H24" s="199"/>
      <c r="I24" s="103">
        <v>75000</v>
      </c>
      <c r="J24" s="101"/>
      <c r="K24" s="101"/>
      <c r="L24" s="101"/>
      <c r="M24" s="95"/>
    </row>
    <row r="25" spans="2:23" x14ac:dyDescent="0.25">
      <c r="B25" s="96"/>
      <c r="C25" s="18"/>
      <c r="D25" s="18"/>
      <c r="E25" s="18"/>
      <c r="F25" s="95"/>
      <c r="H25" s="199"/>
      <c r="I25" s="103">
        <v>100000</v>
      </c>
      <c r="J25" s="101"/>
      <c r="K25" s="101"/>
      <c r="L25" s="101"/>
      <c r="M25" s="95"/>
    </row>
    <row r="26" spans="2:23" x14ac:dyDescent="0.25">
      <c r="B26" s="14" t="s">
        <v>137</v>
      </c>
      <c r="C26" s="101"/>
      <c r="D26" s="101"/>
      <c r="E26" s="101"/>
      <c r="F26" s="95"/>
      <c r="H26" s="199"/>
      <c r="I26" s="103">
        <v>125000</v>
      </c>
      <c r="J26" s="101"/>
      <c r="K26" s="101"/>
      <c r="L26" s="101"/>
      <c r="M26" s="95"/>
    </row>
    <row r="27" spans="2:23" ht="15" customHeight="1" x14ac:dyDescent="0.25">
      <c r="B27" s="96"/>
      <c r="C27" s="18"/>
      <c r="D27" s="18"/>
      <c r="E27" s="18"/>
      <c r="F27" s="95"/>
      <c r="H27" s="199"/>
      <c r="I27" s="103">
        <v>150000</v>
      </c>
      <c r="J27" s="101"/>
      <c r="K27" s="101"/>
      <c r="L27" s="101"/>
      <c r="M27" s="95"/>
    </row>
    <row r="28" spans="2:23" x14ac:dyDescent="0.25">
      <c r="B28" s="96" t="s">
        <v>138</v>
      </c>
      <c r="C28" s="100"/>
      <c r="D28" s="100"/>
      <c r="E28" s="100"/>
      <c r="F28" s="95"/>
      <c r="H28" s="199"/>
      <c r="I28" s="103">
        <v>175000</v>
      </c>
      <c r="J28" s="101"/>
      <c r="K28" s="101"/>
      <c r="L28" s="101"/>
      <c r="M28" s="95"/>
    </row>
    <row r="29" spans="2:23" ht="15.75" thickBot="1" x14ac:dyDescent="0.3">
      <c r="B29" s="96"/>
      <c r="C29" s="18"/>
      <c r="D29" s="18"/>
      <c r="E29" s="18"/>
      <c r="F29" s="95"/>
      <c r="H29" s="200"/>
      <c r="I29" s="106">
        <v>200000</v>
      </c>
      <c r="J29" s="109"/>
      <c r="K29" s="109"/>
      <c r="L29" s="109"/>
      <c r="M29" s="107"/>
    </row>
    <row r="30" spans="2:23" ht="15.75" thickBot="1" x14ac:dyDescent="0.3">
      <c r="B30" s="196" t="s">
        <v>139</v>
      </c>
      <c r="C30" s="197"/>
      <c r="D30" s="197"/>
      <c r="E30" s="197"/>
      <c r="F30" s="198"/>
    </row>
    <row r="31" spans="2:23" ht="15" customHeight="1" x14ac:dyDescent="0.25">
      <c r="B31" s="98" t="s">
        <v>108</v>
      </c>
      <c r="C31" s="94" t="s">
        <v>140</v>
      </c>
      <c r="D31" s="18"/>
      <c r="E31" s="112"/>
      <c r="F31" s="113"/>
      <c r="H31" s="163" t="s">
        <v>141</v>
      </c>
      <c r="I31" s="164"/>
      <c r="J31" s="164"/>
      <c r="K31" s="164"/>
      <c r="L31" s="164"/>
      <c r="M31" s="165"/>
    </row>
    <row r="32" spans="2:23" x14ac:dyDescent="0.25">
      <c r="B32" s="96" t="s">
        <v>127</v>
      </c>
      <c r="C32" s="101"/>
      <c r="D32" s="18"/>
      <c r="E32" s="18"/>
      <c r="F32" s="95"/>
      <c r="H32" s="187" t="s">
        <v>142</v>
      </c>
      <c r="I32" s="188"/>
      <c r="J32" s="188"/>
      <c r="K32" s="188"/>
      <c r="L32" s="114"/>
      <c r="M32" s="115"/>
    </row>
    <row r="33" spans="2:13" x14ac:dyDescent="0.25">
      <c r="B33" s="96" t="s">
        <v>126</v>
      </c>
      <c r="C33" s="101"/>
      <c r="D33" s="18"/>
      <c r="E33" s="18"/>
      <c r="F33" s="95"/>
      <c r="H33" s="187"/>
      <c r="I33" s="188"/>
      <c r="J33" s="188"/>
      <c r="K33" s="188"/>
      <c r="L33" s="116"/>
      <c r="M33" s="95"/>
    </row>
    <row r="34" spans="2:13" ht="15" customHeight="1" x14ac:dyDescent="0.25">
      <c r="B34" s="96" t="s">
        <v>136</v>
      </c>
      <c r="C34" s="101"/>
      <c r="D34" s="18"/>
      <c r="E34" s="18"/>
      <c r="F34" s="95"/>
      <c r="H34" s="96"/>
      <c r="I34" s="18"/>
      <c r="J34" s="18"/>
      <c r="K34" s="18"/>
      <c r="L34" s="18"/>
      <c r="M34" s="115"/>
    </row>
    <row r="35" spans="2:13" x14ac:dyDescent="0.25">
      <c r="B35" s="96" t="s">
        <v>137</v>
      </c>
      <c r="C35" s="101"/>
      <c r="D35" s="18"/>
      <c r="E35" s="18"/>
      <c r="F35" s="95"/>
      <c r="H35" s="187" t="s">
        <v>143</v>
      </c>
      <c r="I35" s="188"/>
      <c r="J35" s="188"/>
      <c r="K35" s="188"/>
      <c r="L35" s="117"/>
      <c r="M35" s="115"/>
    </row>
    <row r="36" spans="2:13" x14ac:dyDescent="0.25">
      <c r="B36" s="96" t="s">
        <v>123</v>
      </c>
      <c r="C36" s="101"/>
      <c r="D36" s="18"/>
      <c r="E36" s="18"/>
      <c r="F36" s="95"/>
      <c r="H36" s="187"/>
      <c r="I36" s="188"/>
      <c r="J36" s="188"/>
      <c r="K36" s="188"/>
      <c r="L36" s="116"/>
      <c r="M36" s="95"/>
    </row>
    <row r="37" spans="2:13" ht="15.75" thickBot="1" x14ac:dyDescent="0.3">
      <c r="B37" s="20" t="s">
        <v>144</v>
      </c>
      <c r="C37" s="109"/>
      <c r="D37" s="21"/>
      <c r="E37" s="21"/>
      <c r="F37" s="107"/>
      <c r="H37" s="96"/>
      <c r="I37" s="18"/>
      <c r="J37" s="18"/>
      <c r="K37" s="18"/>
      <c r="L37" s="18"/>
      <c r="M37" s="95"/>
    </row>
    <row r="38" spans="2:13" x14ac:dyDescent="0.25">
      <c r="H38" s="118" t="s">
        <v>145</v>
      </c>
      <c r="I38" s="119"/>
      <c r="J38" s="119"/>
      <c r="K38" s="119"/>
      <c r="L38" s="117"/>
      <c r="M38" s="95"/>
    </row>
    <row r="39" spans="2:13" x14ac:dyDescent="0.25">
      <c r="H39" s="96"/>
      <c r="I39" s="18"/>
      <c r="J39" s="18"/>
      <c r="K39" s="18"/>
      <c r="L39" s="18"/>
      <c r="M39" s="95"/>
    </row>
    <row r="40" spans="2:13" x14ac:dyDescent="0.25">
      <c r="H40" s="118" t="s">
        <v>146</v>
      </c>
      <c r="I40" s="18"/>
      <c r="J40" s="18"/>
      <c r="K40" s="18"/>
      <c r="L40" s="117"/>
      <c r="M40" s="95"/>
    </row>
    <row r="41" spans="2:13" ht="15" customHeight="1" x14ac:dyDescent="0.25">
      <c r="H41" s="96"/>
      <c r="I41" s="18"/>
      <c r="J41" s="18"/>
      <c r="K41" s="18"/>
      <c r="L41" s="18"/>
      <c r="M41" s="120"/>
    </row>
    <row r="42" spans="2:13" x14ac:dyDescent="0.25">
      <c r="H42" s="187" t="s">
        <v>147</v>
      </c>
      <c r="I42" s="188"/>
      <c r="J42" s="188"/>
      <c r="K42" s="188"/>
      <c r="L42" s="117"/>
      <c r="M42" s="120"/>
    </row>
    <row r="43" spans="2:13" ht="15" customHeight="1" thickBot="1" x14ac:dyDescent="0.3">
      <c r="H43" s="190"/>
      <c r="I43" s="191"/>
      <c r="J43" s="191"/>
      <c r="K43" s="191"/>
      <c r="L43" s="121"/>
      <c r="M43" s="122"/>
    </row>
    <row r="44" spans="2:13" x14ac:dyDescent="0.25">
      <c r="H44" s="35"/>
      <c r="I44" s="35"/>
      <c r="J44" s="35"/>
      <c r="K44" s="35"/>
      <c r="L44" s="35"/>
      <c r="M44" s="35"/>
    </row>
  </sheetData>
  <mergeCells count="14">
    <mergeCell ref="H42:K43"/>
    <mergeCell ref="H20:M20"/>
    <mergeCell ref="J21:L21"/>
    <mergeCell ref="H23:H29"/>
    <mergeCell ref="H31:M31"/>
    <mergeCell ref="H32:K33"/>
    <mergeCell ref="B2:F2"/>
    <mergeCell ref="H2:M2"/>
    <mergeCell ref="H35:K36"/>
    <mergeCell ref="O2:U15"/>
    <mergeCell ref="B11:F11"/>
    <mergeCell ref="B13:F13"/>
    <mergeCell ref="B19:F19"/>
    <mergeCell ref="B30:F30"/>
  </mergeCells>
  <dataValidations count="5">
    <dataValidation type="list" allowBlank="1" showInputMessage="1" showErrorMessage="1" sqref="L32" xr:uid="{00000000-0002-0000-0600-000000000000}">
      <formula1>Q1Options</formula1>
    </dataValidation>
    <dataValidation type="list" allowBlank="1" showInputMessage="1" showErrorMessage="1" sqref="L35" xr:uid="{00000000-0002-0000-0600-000001000000}">
      <formula1>Q2Options</formula1>
    </dataValidation>
    <dataValidation type="list" allowBlank="1" showInputMessage="1" showErrorMessage="1" sqref="L38" xr:uid="{00000000-0002-0000-0600-000002000000}">
      <formula1>Q3Options</formula1>
    </dataValidation>
    <dataValidation type="list" allowBlank="1" showInputMessage="1" showErrorMessage="1" sqref="L40" xr:uid="{00000000-0002-0000-0600-000003000000}">
      <formula1>Q4Options</formula1>
    </dataValidation>
    <dataValidation type="list" allowBlank="1" showInputMessage="1" showErrorMessage="1" sqref="L42" xr:uid="{00000000-0002-0000-0600-000004000000}">
      <formula1>Q5Options</formula1>
    </dataValidation>
  </dataValidations>
  <pageMargins left="0.7" right="0.7" top="0.75" bottom="0.75" header="0.3" footer="0.3"/>
  <pageSetup orientation="portrait" verticalDpi="601"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Sheet6"/>
  <dimension ref="A1:J103"/>
  <sheetViews>
    <sheetView workbookViewId="0">
      <selection sqref="A1:G1"/>
    </sheetView>
  </sheetViews>
  <sheetFormatPr defaultRowHeight="15" x14ac:dyDescent="0.25"/>
  <cols>
    <col min="2" max="2" width="10.85546875" bestFit="1" customWidth="1"/>
    <col min="3" max="5" width="11.140625" bestFit="1" customWidth="1"/>
    <col min="6" max="6" width="12.5703125" bestFit="1" customWidth="1"/>
    <col min="7" max="7" width="14" bestFit="1" customWidth="1"/>
    <col min="8" max="8" width="10.140625" bestFit="1" customWidth="1"/>
    <col min="9" max="10" width="11.140625" bestFit="1" customWidth="1"/>
    <col min="11" max="11" width="10.85546875" bestFit="1" customWidth="1"/>
  </cols>
  <sheetData>
    <row r="1" spans="1:7" x14ac:dyDescent="0.25">
      <c r="A1" s="201" t="s">
        <v>148</v>
      </c>
      <c r="B1" s="201"/>
      <c r="C1" s="201"/>
      <c r="D1" s="201"/>
      <c r="E1" s="201"/>
      <c r="F1" s="201"/>
      <c r="G1" s="201"/>
    </row>
    <row r="3" spans="1:7" x14ac:dyDescent="0.25">
      <c r="A3" s="123" t="s">
        <v>149</v>
      </c>
      <c r="B3" s="123" t="s">
        <v>150</v>
      </c>
      <c r="C3" s="123" t="s">
        <v>116</v>
      </c>
      <c r="D3" s="123" t="s">
        <v>109</v>
      </c>
      <c r="E3" s="123" t="s">
        <v>110</v>
      </c>
      <c r="F3" s="123" t="s">
        <v>111</v>
      </c>
      <c r="G3" s="123" t="s">
        <v>151</v>
      </c>
    </row>
    <row r="4" spans="1:7" x14ac:dyDescent="0.25">
      <c r="A4" s="124">
        <v>1123</v>
      </c>
      <c r="B4" t="s">
        <v>152</v>
      </c>
      <c r="C4" s="124">
        <v>11055</v>
      </c>
      <c r="D4" s="125">
        <v>28190.249999999996</v>
      </c>
      <c r="E4" s="125">
        <v>76721.7</v>
      </c>
      <c r="F4" s="125">
        <v>146036.55000000002</v>
      </c>
      <c r="G4" s="126" t="s">
        <v>153</v>
      </c>
    </row>
    <row r="5" spans="1:7" x14ac:dyDescent="0.25">
      <c r="A5" s="124">
        <v>1125</v>
      </c>
      <c r="B5" t="s">
        <v>154</v>
      </c>
      <c r="C5" s="124">
        <v>19689</v>
      </c>
      <c r="D5" s="125">
        <v>168537.84</v>
      </c>
      <c r="E5" s="125">
        <v>113408.64</v>
      </c>
      <c r="F5" s="125">
        <v>499116.15</v>
      </c>
      <c r="G5" s="126" t="s">
        <v>153</v>
      </c>
    </row>
    <row r="6" spans="1:7" x14ac:dyDescent="0.25">
      <c r="A6" s="124">
        <v>1214</v>
      </c>
      <c r="B6" t="s">
        <v>154</v>
      </c>
      <c r="C6" s="124">
        <v>16657</v>
      </c>
      <c r="D6" s="125">
        <v>74456.789999999994</v>
      </c>
      <c r="E6" s="125">
        <v>239860.80000000002</v>
      </c>
      <c r="F6" s="125">
        <v>351629.27</v>
      </c>
      <c r="G6" s="126" t="s">
        <v>153</v>
      </c>
    </row>
    <row r="7" spans="1:7" x14ac:dyDescent="0.25">
      <c r="A7" s="124">
        <v>1217</v>
      </c>
      <c r="B7" t="s">
        <v>152</v>
      </c>
      <c r="C7" s="124">
        <v>11383</v>
      </c>
      <c r="D7" s="125">
        <v>32100.059999999998</v>
      </c>
      <c r="E7" s="125">
        <v>181217.36</v>
      </c>
      <c r="F7" s="125">
        <v>271826.03999999998</v>
      </c>
      <c r="G7" s="126" t="s">
        <v>153</v>
      </c>
    </row>
    <row r="8" spans="1:7" x14ac:dyDescent="0.25">
      <c r="A8" s="124">
        <v>1322</v>
      </c>
      <c r="B8" t="s">
        <v>154</v>
      </c>
      <c r="C8" s="124">
        <v>15334</v>
      </c>
      <c r="D8" s="125">
        <v>102584.45999999999</v>
      </c>
      <c r="E8" s="125">
        <v>98597.62</v>
      </c>
      <c r="F8" s="125">
        <v>618266.88</v>
      </c>
      <c r="G8" s="126" t="s">
        <v>155</v>
      </c>
    </row>
    <row r="9" spans="1:7" x14ac:dyDescent="0.25">
      <c r="A9" s="124">
        <v>1416</v>
      </c>
      <c r="B9" t="s">
        <v>152</v>
      </c>
      <c r="C9" s="124">
        <v>12081</v>
      </c>
      <c r="D9" s="125">
        <v>70190.61</v>
      </c>
      <c r="E9" s="125">
        <v>68620.08</v>
      </c>
      <c r="F9" s="125">
        <v>407975.37000000005</v>
      </c>
      <c r="G9" s="126" t="s">
        <v>153</v>
      </c>
    </row>
    <row r="10" spans="1:7" x14ac:dyDescent="0.25">
      <c r="A10" s="124">
        <v>1419</v>
      </c>
      <c r="B10" t="s">
        <v>156</v>
      </c>
      <c r="C10" s="124">
        <v>20082</v>
      </c>
      <c r="D10" s="125">
        <v>106836.24</v>
      </c>
      <c r="E10" s="125">
        <v>246807.77999999997</v>
      </c>
      <c r="F10" s="125">
        <v>561291.9</v>
      </c>
      <c r="G10" s="126" t="s">
        <v>153</v>
      </c>
    </row>
    <row r="11" spans="1:7" x14ac:dyDescent="0.25">
      <c r="A11" s="124">
        <v>1621</v>
      </c>
      <c r="B11" t="s">
        <v>152</v>
      </c>
      <c r="C11" s="124">
        <v>10643</v>
      </c>
      <c r="D11" s="125">
        <v>39485.53</v>
      </c>
      <c r="E11" s="125">
        <v>139210.44</v>
      </c>
      <c r="F11" s="125">
        <v>448070.3</v>
      </c>
      <c r="G11" s="126" t="s">
        <v>155</v>
      </c>
    </row>
    <row r="12" spans="1:7" x14ac:dyDescent="0.25">
      <c r="A12" s="124">
        <v>1713</v>
      </c>
      <c r="B12" t="s">
        <v>154</v>
      </c>
      <c r="C12" s="124">
        <v>18421</v>
      </c>
      <c r="D12" s="125">
        <v>128947</v>
      </c>
      <c r="E12" s="125">
        <v>223078.31</v>
      </c>
      <c r="F12" s="125">
        <v>615814.03</v>
      </c>
      <c r="G12" s="126" t="s">
        <v>153</v>
      </c>
    </row>
    <row r="13" spans="1:7" x14ac:dyDescent="0.25">
      <c r="A13" s="124">
        <v>1716</v>
      </c>
      <c r="B13" t="s">
        <v>154</v>
      </c>
      <c r="C13" s="124">
        <v>18485</v>
      </c>
      <c r="D13" s="125">
        <v>63218.7</v>
      </c>
      <c r="E13" s="125">
        <v>187992.45</v>
      </c>
      <c r="F13" s="125">
        <v>251396</v>
      </c>
      <c r="G13" s="126" t="s">
        <v>153</v>
      </c>
    </row>
    <row r="14" spans="1:7" x14ac:dyDescent="0.25">
      <c r="A14" s="124">
        <v>1723</v>
      </c>
      <c r="B14" t="s">
        <v>154</v>
      </c>
      <c r="C14" s="124">
        <v>17012</v>
      </c>
      <c r="D14" s="125">
        <v>35044.720000000001</v>
      </c>
      <c r="E14" s="125">
        <v>204484.24</v>
      </c>
      <c r="F14" s="125">
        <v>137967.31999999998</v>
      </c>
      <c r="G14" s="126" t="s">
        <v>157</v>
      </c>
    </row>
    <row r="15" spans="1:7" x14ac:dyDescent="0.25">
      <c r="A15" s="124">
        <v>1919</v>
      </c>
      <c r="B15" t="s">
        <v>154</v>
      </c>
      <c r="C15" s="124">
        <v>16884</v>
      </c>
      <c r="D15" s="125">
        <v>29040.48</v>
      </c>
      <c r="E15" s="125">
        <v>128318.39999999999</v>
      </c>
      <c r="F15" s="125">
        <v>695620.8</v>
      </c>
      <c r="G15" s="126" t="s">
        <v>155</v>
      </c>
    </row>
    <row r="16" spans="1:7" x14ac:dyDescent="0.25">
      <c r="A16" s="124">
        <v>2119</v>
      </c>
      <c r="B16" t="s">
        <v>152</v>
      </c>
      <c r="C16" s="124">
        <v>14350</v>
      </c>
      <c r="D16" s="125">
        <v>35014</v>
      </c>
      <c r="E16" s="125">
        <v>72180.5</v>
      </c>
      <c r="F16" s="125">
        <v>569551.5</v>
      </c>
      <c r="G16" s="126" t="s">
        <v>155</v>
      </c>
    </row>
    <row r="17" spans="1:7" x14ac:dyDescent="0.25">
      <c r="A17" s="124">
        <v>2317</v>
      </c>
      <c r="B17" t="s">
        <v>154</v>
      </c>
      <c r="C17" s="124">
        <v>15901</v>
      </c>
      <c r="D17" s="125">
        <v>34187.15</v>
      </c>
      <c r="E17" s="125">
        <v>221182.91</v>
      </c>
      <c r="F17" s="125">
        <v>244557.38</v>
      </c>
      <c r="G17" s="126" t="s">
        <v>153</v>
      </c>
    </row>
    <row r="18" spans="1:7" x14ac:dyDescent="0.25">
      <c r="A18" s="124">
        <v>2321</v>
      </c>
      <c r="B18" t="s">
        <v>158</v>
      </c>
      <c r="C18" s="124">
        <v>8789</v>
      </c>
      <c r="D18" s="125">
        <v>63544.47</v>
      </c>
      <c r="E18" s="125">
        <v>131659.22</v>
      </c>
      <c r="F18" s="125">
        <v>103798.09000000001</v>
      </c>
      <c r="G18" s="126" t="s">
        <v>157</v>
      </c>
    </row>
    <row r="19" spans="1:7" x14ac:dyDescent="0.25">
      <c r="A19" s="124">
        <v>2322</v>
      </c>
      <c r="B19" t="s">
        <v>152</v>
      </c>
      <c r="C19" s="124">
        <v>13629</v>
      </c>
      <c r="D19" s="125">
        <v>59967.600000000006</v>
      </c>
      <c r="E19" s="125">
        <v>211249.5</v>
      </c>
      <c r="F19" s="125">
        <v>457252.94999999995</v>
      </c>
      <c r="G19" s="126" t="s">
        <v>153</v>
      </c>
    </row>
    <row r="20" spans="1:7" x14ac:dyDescent="0.25">
      <c r="A20" s="124">
        <v>2416</v>
      </c>
      <c r="B20" t="s">
        <v>152</v>
      </c>
      <c r="C20" s="124">
        <v>13331</v>
      </c>
      <c r="D20" s="125">
        <v>95583.27</v>
      </c>
      <c r="E20" s="125">
        <v>161171.79</v>
      </c>
      <c r="F20" s="125">
        <v>419526.57</v>
      </c>
      <c r="G20" s="126" t="s">
        <v>153</v>
      </c>
    </row>
    <row r="21" spans="1:7" x14ac:dyDescent="0.25">
      <c r="A21" s="124">
        <v>2418</v>
      </c>
      <c r="B21" t="s">
        <v>158</v>
      </c>
      <c r="C21" s="124">
        <v>8569</v>
      </c>
      <c r="D21" s="125">
        <v>35047.21</v>
      </c>
      <c r="E21" s="125">
        <v>106084.22</v>
      </c>
      <c r="F21" s="125">
        <v>117309.61</v>
      </c>
      <c r="G21" s="126" t="s">
        <v>153</v>
      </c>
    </row>
    <row r="22" spans="1:7" x14ac:dyDescent="0.25">
      <c r="A22" s="124">
        <v>2419</v>
      </c>
      <c r="B22" t="s">
        <v>156</v>
      </c>
      <c r="C22" s="124">
        <v>21016</v>
      </c>
      <c r="D22" s="125">
        <v>56322.880000000005</v>
      </c>
      <c r="E22" s="125">
        <v>305362.48</v>
      </c>
      <c r="F22" s="125">
        <v>774859.91999999993</v>
      </c>
      <c r="G22" s="126" t="s">
        <v>155</v>
      </c>
    </row>
    <row r="23" spans="1:7" x14ac:dyDescent="0.25">
      <c r="A23" s="124">
        <v>2523</v>
      </c>
      <c r="B23" t="s">
        <v>152</v>
      </c>
      <c r="C23" s="124">
        <v>13281</v>
      </c>
      <c r="D23" s="125">
        <v>23108.94</v>
      </c>
      <c r="E23" s="125">
        <v>113950.98</v>
      </c>
      <c r="F23" s="125">
        <v>454210.2</v>
      </c>
      <c r="G23" s="126" t="s">
        <v>153</v>
      </c>
    </row>
    <row r="24" spans="1:7" x14ac:dyDescent="0.25">
      <c r="A24" s="124">
        <v>2524</v>
      </c>
      <c r="B24" t="s">
        <v>156</v>
      </c>
      <c r="C24" s="124">
        <v>21538</v>
      </c>
      <c r="D24" s="125">
        <v>119535.9</v>
      </c>
      <c r="E24" s="125">
        <v>129228</v>
      </c>
      <c r="F24" s="125">
        <v>987086.53999999992</v>
      </c>
      <c r="G24" s="126" t="s">
        <v>155</v>
      </c>
    </row>
    <row r="25" spans="1:7" x14ac:dyDescent="0.25">
      <c r="A25" s="124">
        <v>2527</v>
      </c>
      <c r="B25" t="s">
        <v>152</v>
      </c>
      <c r="C25" s="124">
        <v>12465</v>
      </c>
      <c r="D25" s="125">
        <v>79152.75</v>
      </c>
      <c r="E25" s="125">
        <v>142101</v>
      </c>
      <c r="F25" s="125">
        <v>121159.8</v>
      </c>
      <c r="G25" s="126" t="s">
        <v>157</v>
      </c>
    </row>
    <row r="26" spans="1:7" x14ac:dyDescent="0.25">
      <c r="A26" s="124">
        <v>2615</v>
      </c>
      <c r="B26" t="s">
        <v>156</v>
      </c>
      <c r="C26" s="124">
        <v>20611</v>
      </c>
      <c r="D26" s="125">
        <v>176430.16</v>
      </c>
      <c r="E26" s="125">
        <v>166124.66</v>
      </c>
      <c r="F26" s="125">
        <v>581642.41999999993</v>
      </c>
      <c r="G26" s="126" t="s">
        <v>153</v>
      </c>
    </row>
    <row r="27" spans="1:7" x14ac:dyDescent="0.25">
      <c r="A27" s="124">
        <v>2620</v>
      </c>
      <c r="B27" t="s">
        <v>156</v>
      </c>
      <c r="C27" s="124">
        <v>20145</v>
      </c>
      <c r="D27" s="125">
        <v>58017.599999999999</v>
      </c>
      <c r="E27" s="125">
        <v>234689.25</v>
      </c>
      <c r="F27" s="125">
        <v>283843.05</v>
      </c>
      <c r="G27" s="126" t="s">
        <v>153</v>
      </c>
    </row>
    <row r="28" spans="1:7" x14ac:dyDescent="0.25">
      <c r="A28" s="124">
        <v>2621</v>
      </c>
      <c r="B28" t="s">
        <v>158</v>
      </c>
      <c r="C28" s="124">
        <v>8800</v>
      </c>
      <c r="D28" s="125">
        <v>30096</v>
      </c>
      <c r="E28" s="125">
        <v>87032</v>
      </c>
      <c r="F28" s="125">
        <v>292336</v>
      </c>
      <c r="G28" s="126" t="s">
        <v>153</v>
      </c>
    </row>
    <row r="29" spans="1:7" x14ac:dyDescent="0.25">
      <c r="A29" s="124">
        <v>2919</v>
      </c>
      <c r="B29" t="s">
        <v>156</v>
      </c>
      <c r="C29" s="124">
        <v>20999</v>
      </c>
      <c r="D29" s="125">
        <v>97645.35</v>
      </c>
      <c r="E29" s="125">
        <v>223639.35</v>
      </c>
      <c r="F29" s="125">
        <v>893927.43</v>
      </c>
      <c r="G29" s="126" t="s">
        <v>155</v>
      </c>
    </row>
    <row r="30" spans="1:7" x14ac:dyDescent="0.25">
      <c r="A30" s="124">
        <v>2921</v>
      </c>
      <c r="B30" t="s">
        <v>154</v>
      </c>
      <c r="C30" s="124">
        <v>15443</v>
      </c>
      <c r="D30" s="125">
        <v>123389.57</v>
      </c>
      <c r="E30" s="125">
        <v>237822.2</v>
      </c>
      <c r="F30" s="125">
        <v>177748.93</v>
      </c>
      <c r="G30" s="126" t="s">
        <v>157</v>
      </c>
    </row>
    <row r="31" spans="1:7" x14ac:dyDescent="0.25">
      <c r="A31" s="124">
        <v>2924</v>
      </c>
      <c r="B31" t="s">
        <v>152</v>
      </c>
      <c r="C31" s="124">
        <v>10848</v>
      </c>
      <c r="D31" s="125">
        <v>67149.12000000001</v>
      </c>
      <c r="E31" s="125">
        <v>172483.20000000001</v>
      </c>
      <c r="F31" s="125">
        <v>72356.160000000003</v>
      </c>
      <c r="G31" s="126" t="s">
        <v>157</v>
      </c>
    </row>
    <row r="32" spans="1:7" x14ac:dyDescent="0.25">
      <c r="A32" s="124">
        <v>3121</v>
      </c>
      <c r="B32" t="s">
        <v>154</v>
      </c>
      <c r="C32" s="124">
        <v>19953</v>
      </c>
      <c r="D32" s="125">
        <v>91983.33</v>
      </c>
      <c r="E32" s="125">
        <v>265773.96000000002</v>
      </c>
      <c r="F32" s="125">
        <v>906265.26</v>
      </c>
      <c r="G32" s="126" t="s">
        <v>155</v>
      </c>
    </row>
    <row r="33" spans="1:7" x14ac:dyDescent="0.25">
      <c r="A33" s="124">
        <v>3216</v>
      </c>
      <c r="B33" t="s">
        <v>154</v>
      </c>
      <c r="C33" s="124">
        <v>18903</v>
      </c>
      <c r="D33" s="125">
        <v>147632.43000000002</v>
      </c>
      <c r="E33" s="125">
        <v>157840.04999999999</v>
      </c>
      <c r="F33" s="125">
        <v>504710.1</v>
      </c>
      <c r="G33" s="126" t="s">
        <v>153</v>
      </c>
    </row>
    <row r="34" spans="1:7" x14ac:dyDescent="0.25">
      <c r="A34" s="124">
        <v>3920</v>
      </c>
      <c r="B34" t="s">
        <v>158</v>
      </c>
      <c r="C34" s="124">
        <v>9074</v>
      </c>
      <c r="D34" s="125">
        <v>34390.46</v>
      </c>
      <c r="E34" s="125">
        <v>123769.36</v>
      </c>
      <c r="F34" s="125">
        <v>288280.98</v>
      </c>
      <c r="G34" s="126" t="s">
        <v>153</v>
      </c>
    </row>
    <row r="35" spans="1:7" x14ac:dyDescent="0.25">
      <c r="A35" s="124">
        <v>3922</v>
      </c>
      <c r="B35" t="s">
        <v>156</v>
      </c>
      <c r="C35" s="124">
        <v>20498</v>
      </c>
      <c r="D35" s="125">
        <v>53704.76</v>
      </c>
      <c r="E35" s="125">
        <v>304190.32</v>
      </c>
      <c r="F35" s="125">
        <v>565334.84</v>
      </c>
      <c r="G35" s="126" t="s">
        <v>153</v>
      </c>
    </row>
    <row r="36" spans="1:7" x14ac:dyDescent="0.25">
      <c r="A36" s="124">
        <v>4122</v>
      </c>
      <c r="B36" t="s">
        <v>152</v>
      </c>
      <c r="C36" s="124">
        <v>11573</v>
      </c>
      <c r="D36" s="125">
        <v>87607.61</v>
      </c>
      <c r="E36" s="125">
        <v>63420.040000000008</v>
      </c>
      <c r="F36" s="125">
        <v>213174.66000000003</v>
      </c>
      <c r="G36" s="126" t="s">
        <v>153</v>
      </c>
    </row>
    <row r="37" spans="1:7" x14ac:dyDescent="0.25">
      <c r="A37" s="124">
        <v>4416</v>
      </c>
      <c r="B37" t="s">
        <v>156</v>
      </c>
      <c r="C37" s="124">
        <v>21249</v>
      </c>
      <c r="D37" s="125">
        <v>170416.97999999998</v>
      </c>
      <c r="E37" s="125">
        <v>320009.94</v>
      </c>
      <c r="F37" s="125">
        <v>127918.98</v>
      </c>
      <c r="G37" s="126" t="s">
        <v>157</v>
      </c>
    </row>
    <row r="38" spans="1:7" x14ac:dyDescent="0.25">
      <c r="A38" s="124">
        <v>4422</v>
      </c>
      <c r="B38" t="s">
        <v>152</v>
      </c>
      <c r="C38" s="124">
        <v>11257</v>
      </c>
      <c r="D38" s="125">
        <v>99624.45</v>
      </c>
      <c r="E38" s="125">
        <v>150393.51999999999</v>
      </c>
      <c r="F38" s="125">
        <v>413131.9</v>
      </c>
      <c r="G38" s="126" t="s">
        <v>153</v>
      </c>
    </row>
    <row r="39" spans="1:7" x14ac:dyDescent="0.25">
      <c r="A39" s="124">
        <v>4520</v>
      </c>
      <c r="B39" t="s">
        <v>154</v>
      </c>
      <c r="C39" s="124">
        <v>19235</v>
      </c>
      <c r="D39" s="125">
        <v>25005.5</v>
      </c>
      <c r="E39" s="125">
        <v>181193.7</v>
      </c>
      <c r="F39" s="125">
        <v>483760.25</v>
      </c>
      <c r="G39" s="126" t="s">
        <v>153</v>
      </c>
    </row>
    <row r="40" spans="1:7" x14ac:dyDescent="0.25">
      <c r="A40" s="124">
        <v>4719</v>
      </c>
      <c r="B40" t="s">
        <v>152</v>
      </c>
      <c r="C40" s="124">
        <v>13275</v>
      </c>
      <c r="D40" s="125">
        <v>19381.5</v>
      </c>
      <c r="E40" s="125">
        <v>96774.75</v>
      </c>
      <c r="F40" s="125">
        <v>300678.75</v>
      </c>
      <c r="G40" s="126" t="s">
        <v>153</v>
      </c>
    </row>
    <row r="41" spans="1:7" x14ac:dyDescent="0.25">
      <c r="A41" s="124">
        <v>4819</v>
      </c>
      <c r="B41" t="s">
        <v>152</v>
      </c>
      <c r="C41" s="124">
        <v>13378</v>
      </c>
      <c r="D41" s="125">
        <v>13511.78</v>
      </c>
      <c r="E41" s="125">
        <v>206422.54</v>
      </c>
      <c r="F41" s="125">
        <v>526424.30000000005</v>
      </c>
      <c r="G41" s="126" t="s">
        <v>155</v>
      </c>
    </row>
    <row r="42" spans="1:7" x14ac:dyDescent="0.25">
      <c r="A42" s="124">
        <v>4820</v>
      </c>
      <c r="B42" t="s">
        <v>154</v>
      </c>
      <c r="C42" s="124">
        <v>18449</v>
      </c>
      <c r="D42" s="125">
        <v>44093.11</v>
      </c>
      <c r="E42" s="125">
        <v>216406.77000000002</v>
      </c>
      <c r="F42" s="125">
        <v>126006.67</v>
      </c>
      <c r="G42" s="126" t="s">
        <v>157</v>
      </c>
    </row>
    <row r="43" spans="1:7" x14ac:dyDescent="0.25">
      <c r="A43" s="124">
        <v>4919</v>
      </c>
      <c r="B43" t="s">
        <v>152</v>
      </c>
      <c r="C43" s="124">
        <v>13725</v>
      </c>
      <c r="D43" s="125">
        <v>80291.25</v>
      </c>
      <c r="E43" s="125">
        <v>71232.75</v>
      </c>
      <c r="F43" s="125">
        <v>199561.5</v>
      </c>
      <c r="G43" s="126" t="s">
        <v>153</v>
      </c>
    </row>
    <row r="44" spans="1:7" x14ac:dyDescent="0.25">
      <c r="A44" s="124">
        <v>5114</v>
      </c>
      <c r="B44" t="s">
        <v>154</v>
      </c>
      <c r="C44" s="124">
        <v>15710</v>
      </c>
      <c r="D44" s="125">
        <v>41945.7</v>
      </c>
      <c r="E44" s="125">
        <v>217426.4</v>
      </c>
      <c r="F44" s="125">
        <v>238320.7</v>
      </c>
      <c r="G44" s="126" t="s">
        <v>153</v>
      </c>
    </row>
    <row r="45" spans="1:7" x14ac:dyDescent="0.25">
      <c r="A45" s="124">
        <v>5119</v>
      </c>
      <c r="B45" t="s">
        <v>152</v>
      </c>
      <c r="C45" s="124">
        <v>11382</v>
      </c>
      <c r="D45" s="125">
        <v>61235.159999999996</v>
      </c>
      <c r="E45" s="125">
        <v>127933.68000000001</v>
      </c>
      <c r="F45" s="125">
        <v>195087.48</v>
      </c>
      <c r="G45" s="126" t="s">
        <v>153</v>
      </c>
    </row>
    <row r="46" spans="1:7" x14ac:dyDescent="0.25">
      <c r="A46" s="124">
        <v>5125</v>
      </c>
      <c r="B46" t="s">
        <v>152</v>
      </c>
      <c r="C46" s="124">
        <v>12437</v>
      </c>
      <c r="D46" s="125">
        <v>18655.5</v>
      </c>
      <c r="E46" s="125">
        <v>125240.59</v>
      </c>
      <c r="F46" s="125">
        <v>126235.55</v>
      </c>
      <c r="G46" s="126" t="s">
        <v>157</v>
      </c>
    </row>
    <row r="47" spans="1:7" x14ac:dyDescent="0.25">
      <c r="A47" s="124">
        <v>5218</v>
      </c>
      <c r="B47" t="s">
        <v>152</v>
      </c>
      <c r="C47" s="124">
        <v>14828</v>
      </c>
      <c r="D47" s="125">
        <v>46856.480000000003</v>
      </c>
      <c r="E47" s="125">
        <v>84519.6</v>
      </c>
      <c r="F47" s="125">
        <v>661625.36</v>
      </c>
      <c r="G47" s="126" t="s">
        <v>155</v>
      </c>
    </row>
    <row r="48" spans="1:7" x14ac:dyDescent="0.25">
      <c r="A48" s="124">
        <v>5223</v>
      </c>
      <c r="B48" t="s">
        <v>154</v>
      </c>
      <c r="C48" s="124">
        <v>18468</v>
      </c>
      <c r="D48" s="125">
        <v>71101.8</v>
      </c>
      <c r="E48" s="125">
        <v>117641.16</v>
      </c>
      <c r="F48" s="125">
        <v>378963.36</v>
      </c>
      <c r="G48" s="126" t="s">
        <v>153</v>
      </c>
    </row>
    <row r="49" spans="1:10" x14ac:dyDescent="0.25">
      <c r="A49" s="124">
        <v>5317</v>
      </c>
      <c r="B49" t="s">
        <v>152</v>
      </c>
      <c r="C49" s="124">
        <v>13952</v>
      </c>
      <c r="D49" s="125">
        <v>120405.76000000001</v>
      </c>
      <c r="E49" s="125">
        <v>113011.2</v>
      </c>
      <c r="F49" s="125">
        <v>602307.83999999997</v>
      </c>
      <c r="G49" s="126" t="s">
        <v>155</v>
      </c>
    </row>
    <row r="50" spans="1:10" x14ac:dyDescent="0.25">
      <c r="A50" s="124">
        <v>5323</v>
      </c>
      <c r="B50" t="s">
        <v>156</v>
      </c>
      <c r="C50" s="124">
        <v>20051</v>
      </c>
      <c r="D50" s="125">
        <v>120707.01999999999</v>
      </c>
      <c r="E50" s="125">
        <v>201312.03999999998</v>
      </c>
      <c r="F50" s="125">
        <v>555011.68000000005</v>
      </c>
      <c r="G50" s="126" t="s">
        <v>153</v>
      </c>
    </row>
    <row r="51" spans="1:10" x14ac:dyDescent="0.25">
      <c r="A51" s="124">
        <v>5425</v>
      </c>
      <c r="B51" t="s">
        <v>154</v>
      </c>
      <c r="C51" s="124">
        <v>19744</v>
      </c>
      <c r="D51" s="125">
        <v>138405.44</v>
      </c>
      <c r="E51" s="125">
        <v>154990.39999999999</v>
      </c>
      <c r="F51" s="125">
        <v>560927.04</v>
      </c>
      <c r="G51" s="126" t="s">
        <v>153</v>
      </c>
    </row>
    <row r="52" spans="1:10" x14ac:dyDescent="0.25">
      <c r="A52" s="124">
        <v>5520</v>
      </c>
      <c r="B52" t="s">
        <v>154</v>
      </c>
      <c r="C52" s="124">
        <v>19205</v>
      </c>
      <c r="D52" s="125">
        <v>129825.8</v>
      </c>
      <c r="E52" s="125">
        <v>273863.3</v>
      </c>
      <c r="F52" s="125">
        <v>701366.60000000009</v>
      </c>
      <c r="G52" s="126" t="s">
        <v>153</v>
      </c>
    </row>
    <row r="53" spans="1:10" x14ac:dyDescent="0.25">
      <c r="A53" s="124">
        <v>5619</v>
      </c>
      <c r="B53" t="s">
        <v>154</v>
      </c>
      <c r="C53" s="124">
        <v>16309</v>
      </c>
      <c r="D53" s="125">
        <v>62952.74</v>
      </c>
      <c r="E53" s="125">
        <v>137158.69</v>
      </c>
      <c r="F53" s="125">
        <v>492042.53</v>
      </c>
      <c r="G53" s="126" t="s">
        <v>153</v>
      </c>
      <c r="J53" s="93"/>
    </row>
    <row r="54" spans="1:10" x14ac:dyDescent="0.25">
      <c r="A54" s="124">
        <v>5620</v>
      </c>
      <c r="B54" t="s">
        <v>154</v>
      </c>
      <c r="C54" s="124">
        <v>15234</v>
      </c>
      <c r="D54" s="125">
        <v>116844.78</v>
      </c>
      <c r="E54" s="125">
        <v>117149.45999999999</v>
      </c>
      <c r="F54" s="125">
        <v>609512.34</v>
      </c>
      <c r="G54" s="126" t="s">
        <v>155</v>
      </c>
      <c r="J54" s="93"/>
    </row>
    <row r="55" spans="1:10" x14ac:dyDescent="0.25">
      <c r="A55" s="124">
        <v>5714</v>
      </c>
      <c r="B55" t="s">
        <v>152</v>
      </c>
      <c r="C55" s="124">
        <v>14435</v>
      </c>
      <c r="D55" s="125">
        <v>80980.350000000006</v>
      </c>
      <c r="E55" s="125">
        <v>200502.15</v>
      </c>
      <c r="F55" s="125">
        <v>467549.65</v>
      </c>
      <c r="G55" s="126" t="s">
        <v>153</v>
      </c>
      <c r="J55" s="93"/>
    </row>
    <row r="56" spans="1:10" x14ac:dyDescent="0.25">
      <c r="A56" s="124">
        <v>5720</v>
      </c>
      <c r="B56" t="s">
        <v>158</v>
      </c>
      <c r="C56" s="124">
        <v>9173</v>
      </c>
      <c r="D56" s="125">
        <v>41737.15</v>
      </c>
      <c r="E56" s="125">
        <v>63477.159999999996</v>
      </c>
      <c r="F56" s="125">
        <v>309680.48</v>
      </c>
      <c r="G56" s="126" t="s">
        <v>153</v>
      </c>
      <c r="J56" s="93"/>
    </row>
    <row r="57" spans="1:10" x14ac:dyDescent="0.25">
      <c r="A57" s="124">
        <v>5821</v>
      </c>
      <c r="B57" t="s">
        <v>152</v>
      </c>
      <c r="C57" s="124">
        <v>14906</v>
      </c>
      <c r="D57" s="125">
        <v>71697.86</v>
      </c>
      <c r="E57" s="125">
        <v>86007.62</v>
      </c>
      <c r="F57" s="125">
        <v>498605.70000000007</v>
      </c>
      <c r="G57" s="126" t="s">
        <v>153</v>
      </c>
    </row>
    <row r="58" spans="1:10" x14ac:dyDescent="0.25">
      <c r="A58" s="124">
        <v>5916</v>
      </c>
      <c r="B58" t="s">
        <v>154</v>
      </c>
      <c r="C58" s="124">
        <v>19484</v>
      </c>
      <c r="D58" s="125">
        <v>77741.16</v>
      </c>
      <c r="E58" s="125">
        <v>198931.64</v>
      </c>
      <c r="F58" s="125">
        <v>812677.64</v>
      </c>
      <c r="G58" s="126" t="s">
        <v>155</v>
      </c>
    </row>
    <row r="59" spans="1:10" x14ac:dyDescent="0.25">
      <c r="A59" s="124">
        <v>5927</v>
      </c>
      <c r="B59" t="s">
        <v>152</v>
      </c>
      <c r="C59" s="124">
        <v>10847</v>
      </c>
      <c r="D59" s="125">
        <v>27551.38</v>
      </c>
      <c r="E59" s="125">
        <v>82871.08</v>
      </c>
      <c r="F59" s="125">
        <v>285276.10000000003</v>
      </c>
      <c r="G59" s="126" t="s">
        <v>153</v>
      </c>
    </row>
    <row r="60" spans="1:10" x14ac:dyDescent="0.25">
      <c r="A60" s="124">
        <v>6216</v>
      </c>
      <c r="B60" t="s">
        <v>158</v>
      </c>
      <c r="C60" s="124">
        <v>8675</v>
      </c>
      <c r="D60" s="125">
        <v>37476</v>
      </c>
      <c r="E60" s="125">
        <v>131946.75</v>
      </c>
      <c r="F60" s="125">
        <v>339192.5</v>
      </c>
      <c r="G60" s="126" t="s">
        <v>155</v>
      </c>
    </row>
    <row r="61" spans="1:10" x14ac:dyDescent="0.25">
      <c r="A61" s="124">
        <v>6423</v>
      </c>
      <c r="B61" t="s">
        <v>152</v>
      </c>
      <c r="C61" s="124">
        <v>11434</v>
      </c>
      <c r="D61" s="125">
        <v>48708.84</v>
      </c>
      <c r="E61" s="125">
        <v>74321</v>
      </c>
      <c r="F61" s="125">
        <v>72948.92</v>
      </c>
      <c r="G61" s="126" t="s">
        <v>157</v>
      </c>
    </row>
    <row r="62" spans="1:10" x14ac:dyDescent="0.25">
      <c r="A62" s="124">
        <v>6522</v>
      </c>
      <c r="B62" t="s">
        <v>152</v>
      </c>
      <c r="C62" s="124">
        <v>11306</v>
      </c>
      <c r="D62" s="125">
        <v>64105.02</v>
      </c>
      <c r="E62" s="125">
        <v>62296.06</v>
      </c>
      <c r="F62" s="125">
        <v>77785.279999999999</v>
      </c>
      <c r="G62" s="126" t="s">
        <v>157</v>
      </c>
    </row>
    <row r="63" spans="1:10" x14ac:dyDescent="0.25">
      <c r="A63" s="124">
        <v>6619</v>
      </c>
      <c r="B63" t="s">
        <v>158</v>
      </c>
      <c r="C63" s="124">
        <v>8830</v>
      </c>
      <c r="D63" s="125">
        <v>31346.5</v>
      </c>
      <c r="E63" s="125">
        <v>87770.2</v>
      </c>
      <c r="F63" s="125">
        <v>175275.5</v>
      </c>
      <c r="G63" s="126" t="s">
        <v>153</v>
      </c>
    </row>
    <row r="64" spans="1:10" x14ac:dyDescent="0.25">
      <c r="A64" s="124">
        <v>6625</v>
      </c>
      <c r="B64" t="s">
        <v>156</v>
      </c>
      <c r="C64" s="124">
        <v>21934</v>
      </c>
      <c r="D64" s="125">
        <v>196528.64000000001</v>
      </c>
      <c r="E64" s="125">
        <v>133578.06</v>
      </c>
      <c r="F64" s="125">
        <v>911138.36</v>
      </c>
      <c r="G64" s="126" t="s">
        <v>155</v>
      </c>
    </row>
    <row r="65" spans="1:7" x14ac:dyDescent="0.25">
      <c r="A65" s="124">
        <v>6627</v>
      </c>
      <c r="B65" t="s">
        <v>152</v>
      </c>
      <c r="C65" s="124">
        <v>11879</v>
      </c>
      <c r="D65" s="125">
        <v>95269.58</v>
      </c>
      <c r="E65" s="125">
        <v>90874.35</v>
      </c>
      <c r="F65" s="125">
        <v>149912.97999999998</v>
      </c>
      <c r="G65" s="126" t="s">
        <v>157</v>
      </c>
    </row>
    <row r="66" spans="1:7" x14ac:dyDescent="0.25">
      <c r="A66" s="124">
        <v>6712</v>
      </c>
      <c r="B66" t="s">
        <v>154</v>
      </c>
      <c r="C66" s="124">
        <v>19774</v>
      </c>
      <c r="D66" s="125">
        <v>152655.28</v>
      </c>
      <c r="E66" s="125">
        <v>137231.56</v>
      </c>
      <c r="F66" s="125">
        <v>817061.68</v>
      </c>
      <c r="G66" s="126" t="s">
        <v>155</v>
      </c>
    </row>
    <row r="67" spans="1:7" x14ac:dyDescent="0.25">
      <c r="A67" s="124">
        <v>6722</v>
      </c>
      <c r="B67" t="s">
        <v>152</v>
      </c>
      <c r="C67" s="124">
        <v>10582</v>
      </c>
      <c r="D67" s="125">
        <v>10899.460000000001</v>
      </c>
      <c r="E67" s="125">
        <v>84338.54</v>
      </c>
      <c r="F67" s="125">
        <v>176931.03999999998</v>
      </c>
      <c r="G67" s="126" t="s">
        <v>153</v>
      </c>
    </row>
    <row r="68" spans="1:7" x14ac:dyDescent="0.25">
      <c r="A68" s="124">
        <v>6820</v>
      </c>
      <c r="B68" t="s">
        <v>158</v>
      </c>
      <c r="C68" s="124">
        <v>8627</v>
      </c>
      <c r="D68" s="125">
        <v>25190.84</v>
      </c>
      <c r="E68" s="125">
        <v>99986.93</v>
      </c>
      <c r="F68" s="125">
        <v>352499.22</v>
      </c>
      <c r="G68" s="126" t="s">
        <v>155</v>
      </c>
    </row>
    <row r="69" spans="1:7" x14ac:dyDescent="0.25">
      <c r="A69" s="124">
        <v>6821</v>
      </c>
      <c r="B69" t="s">
        <v>152</v>
      </c>
      <c r="C69" s="124">
        <v>13029</v>
      </c>
      <c r="D69" s="125">
        <v>88466.91</v>
      </c>
      <c r="E69" s="125">
        <v>112570.56000000001</v>
      </c>
      <c r="F69" s="125">
        <v>488717.79</v>
      </c>
      <c r="G69" s="126" t="s">
        <v>155</v>
      </c>
    </row>
    <row r="70" spans="1:7" x14ac:dyDescent="0.25">
      <c r="A70" s="124">
        <v>6917</v>
      </c>
      <c r="B70" t="s">
        <v>152</v>
      </c>
      <c r="C70" s="124">
        <v>13004</v>
      </c>
      <c r="D70" s="125">
        <v>54616.800000000003</v>
      </c>
      <c r="E70" s="125">
        <v>207803.92</v>
      </c>
      <c r="F70" s="125">
        <v>81144.960000000006</v>
      </c>
      <c r="G70" s="126" t="s">
        <v>157</v>
      </c>
    </row>
    <row r="71" spans="1:7" x14ac:dyDescent="0.25">
      <c r="A71" s="124">
        <v>7120</v>
      </c>
      <c r="B71" t="s">
        <v>152</v>
      </c>
      <c r="C71" s="124">
        <v>12217</v>
      </c>
      <c r="D71" s="125">
        <v>57175.56</v>
      </c>
      <c r="E71" s="125">
        <v>157721.47</v>
      </c>
      <c r="F71" s="125">
        <v>538036.67999999993</v>
      </c>
      <c r="G71" s="126" t="s">
        <v>155</v>
      </c>
    </row>
    <row r="72" spans="1:7" x14ac:dyDescent="0.25">
      <c r="A72" s="124">
        <v>7215</v>
      </c>
      <c r="B72" t="s">
        <v>154</v>
      </c>
      <c r="C72" s="124">
        <v>18696</v>
      </c>
      <c r="D72" s="125">
        <v>144707.04</v>
      </c>
      <c r="E72" s="125">
        <v>288479.27999999997</v>
      </c>
      <c r="F72" s="125">
        <v>364198.08</v>
      </c>
      <c r="G72" s="126" t="s">
        <v>153</v>
      </c>
    </row>
    <row r="73" spans="1:7" x14ac:dyDescent="0.25">
      <c r="A73" s="124">
        <v>7216</v>
      </c>
      <c r="B73" t="s">
        <v>154</v>
      </c>
      <c r="C73" s="124">
        <v>16938</v>
      </c>
      <c r="D73" s="125">
        <v>18462.420000000002</v>
      </c>
      <c r="E73" s="125">
        <v>124324.92</v>
      </c>
      <c r="F73" s="125">
        <v>364675.14</v>
      </c>
      <c r="G73" s="126" t="s">
        <v>153</v>
      </c>
    </row>
    <row r="74" spans="1:7" x14ac:dyDescent="0.25">
      <c r="A74" s="124">
        <v>7320</v>
      </c>
      <c r="B74" t="s">
        <v>152</v>
      </c>
      <c r="C74" s="124">
        <v>13861</v>
      </c>
      <c r="D74" s="125">
        <v>25920.07</v>
      </c>
      <c r="E74" s="125">
        <v>188370.99</v>
      </c>
      <c r="F74" s="125">
        <v>426502.97</v>
      </c>
      <c r="G74" s="126" t="s">
        <v>153</v>
      </c>
    </row>
    <row r="75" spans="1:7" x14ac:dyDescent="0.25">
      <c r="A75" s="124">
        <v>7618</v>
      </c>
      <c r="B75" t="s">
        <v>154</v>
      </c>
      <c r="C75" s="124">
        <v>15925</v>
      </c>
      <c r="D75" s="125">
        <v>20224.75</v>
      </c>
      <c r="E75" s="125">
        <v>102397.75</v>
      </c>
      <c r="F75" s="125">
        <v>162912.75</v>
      </c>
      <c r="G75" s="126" t="s">
        <v>157</v>
      </c>
    </row>
    <row r="76" spans="1:7" x14ac:dyDescent="0.25">
      <c r="A76" s="124">
        <v>7714</v>
      </c>
      <c r="B76" t="s">
        <v>154</v>
      </c>
      <c r="C76" s="124">
        <v>18782</v>
      </c>
      <c r="D76" s="125">
        <v>30051.200000000001</v>
      </c>
      <c r="E76" s="125">
        <v>247734.58</v>
      </c>
      <c r="F76" s="125">
        <v>389726.5</v>
      </c>
      <c r="G76" s="126" t="s">
        <v>153</v>
      </c>
    </row>
    <row r="77" spans="1:7" x14ac:dyDescent="0.25">
      <c r="A77" s="124">
        <v>7821</v>
      </c>
      <c r="B77" t="s">
        <v>152</v>
      </c>
      <c r="C77" s="124">
        <v>12453</v>
      </c>
      <c r="D77" s="125">
        <v>60646.11</v>
      </c>
      <c r="E77" s="125">
        <v>109212.81</v>
      </c>
      <c r="F77" s="125">
        <v>462878.01</v>
      </c>
      <c r="G77" s="126" t="s">
        <v>155</v>
      </c>
    </row>
    <row r="78" spans="1:7" x14ac:dyDescent="0.25">
      <c r="A78" s="124">
        <v>7822</v>
      </c>
      <c r="B78" t="s">
        <v>154</v>
      </c>
      <c r="C78" s="124">
        <v>19820</v>
      </c>
      <c r="D78" s="125">
        <v>106235.20000000001</v>
      </c>
      <c r="E78" s="125">
        <v>121694.79999999999</v>
      </c>
      <c r="F78" s="125">
        <v>696276.60000000009</v>
      </c>
      <c r="G78" s="126" t="s">
        <v>153</v>
      </c>
    </row>
    <row r="79" spans="1:7" x14ac:dyDescent="0.25">
      <c r="A79" s="124">
        <v>7919</v>
      </c>
      <c r="B79" t="s">
        <v>152</v>
      </c>
      <c r="C79" s="124">
        <v>14174</v>
      </c>
      <c r="D79" s="125">
        <v>69169.119999999995</v>
      </c>
      <c r="E79" s="125">
        <v>215444.8</v>
      </c>
      <c r="F79" s="125">
        <v>84335.3</v>
      </c>
      <c r="G79" s="126" t="s">
        <v>157</v>
      </c>
    </row>
    <row r="80" spans="1:7" x14ac:dyDescent="0.25">
      <c r="A80" s="124">
        <v>8213</v>
      </c>
      <c r="B80" t="s">
        <v>152</v>
      </c>
      <c r="C80" s="124">
        <v>11515</v>
      </c>
      <c r="D80" s="125">
        <v>48593.299999999996</v>
      </c>
      <c r="E80" s="125">
        <v>75192.95</v>
      </c>
      <c r="F80" s="125">
        <v>70356.650000000009</v>
      </c>
      <c r="G80" s="126" t="s">
        <v>157</v>
      </c>
    </row>
    <row r="81" spans="1:7" x14ac:dyDescent="0.25">
      <c r="A81" s="124">
        <v>8216</v>
      </c>
      <c r="B81" t="s">
        <v>154</v>
      </c>
      <c r="C81" s="124">
        <v>16560</v>
      </c>
      <c r="D81" s="125">
        <v>129830.39999999999</v>
      </c>
      <c r="E81" s="125">
        <v>136288.80000000002</v>
      </c>
      <c r="F81" s="125">
        <v>620668.79999999993</v>
      </c>
      <c r="G81" s="126" t="s">
        <v>155</v>
      </c>
    </row>
    <row r="82" spans="1:7" x14ac:dyDescent="0.25">
      <c r="A82" s="124">
        <v>8220</v>
      </c>
      <c r="B82" t="s">
        <v>154</v>
      </c>
      <c r="C82" s="124">
        <v>16116</v>
      </c>
      <c r="D82" s="125">
        <v>100563.84</v>
      </c>
      <c r="E82" s="125">
        <v>176309.03999999998</v>
      </c>
      <c r="F82" s="125">
        <v>488798.27999999997</v>
      </c>
      <c r="G82" s="126" t="s">
        <v>153</v>
      </c>
    </row>
    <row r="83" spans="1:7" x14ac:dyDescent="0.25">
      <c r="A83" s="124">
        <v>8221</v>
      </c>
      <c r="B83" t="s">
        <v>158</v>
      </c>
      <c r="C83" s="124">
        <v>9469</v>
      </c>
      <c r="D83" s="125">
        <v>57760.899999999994</v>
      </c>
      <c r="E83" s="125">
        <v>114290.83</v>
      </c>
      <c r="F83" s="125">
        <v>181994.18</v>
      </c>
      <c r="G83" s="126" t="s">
        <v>153</v>
      </c>
    </row>
    <row r="84" spans="1:7" x14ac:dyDescent="0.25">
      <c r="A84" s="124">
        <v>8223</v>
      </c>
      <c r="B84" t="s">
        <v>154</v>
      </c>
      <c r="C84" s="124">
        <v>17639</v>
      </c>
      <c r="D84" s="125">
        <v>56092.020000000004</v>
      </c>
      <c r="E84" s="125">
        <v>135996.69</v>
      </c>
      <c r="F84" s="125">
        <v>543457.59</v>
      </c>
      <c r="G84" s="126" t="s">
        <v>153</v>
      </c>
    </row>
    <row r="85" spans="1:7" x14ac:dyDescent="0.25">
      <c r="A85" s="124">
        <v>8319</v>
      </c>
      <c r="B85" t="s">
        <v>152</v>
      </c>
      <c r="C85" s="124">
        <v>12817</v>
      </c>
      <c r="D85" s="125">
        <v>21788.899999999998</v>
      </c>
      <c r="E85" s="125">
        <v>122786.86</v>
      </c>
      <c r="F85" s="125">
        <v>420525.77</v>
      </c>
      <c r="G85" s="126" t="s">
        <v>153</v>
      </c>
    </row>
    <row r="86" spans="1:7" x14ac:dyDescent="0.25">
      <c r="A86" s="124">
        <v>8418</v>
      </c>
      <c r="B86" t="s">
        <v>154</v>
      </c>
      <c r="C86" s="124">
        <v>17723</v>
      </c>
      <c r="D86" s="125">
        <v>60967.12</v>
      </c>
      <c r="E86" s="125">
        <v>97122.040000000008</v>
      </c>
      <c r="F86" s="125">
        <v>97830.959999999992</v>
      </c>
      <c r="G86" s="126" t="s">
        <v>157</v>
      </c>
    </row>
    <row r="87" spans="1:7" x14ac:dyDescent="0.25">
      <c r="A87" s="124">
        <v>8523</v>
      </c>
      <c r="B87" t="s">
        <v>152</v>
      </c>
      <c r="C87" s="124">
        <v>13497</v>
      </c>
      <c r="D87" s="125">
        <v>91374.689999999988</v>
      </c>
      <c r="E87" s="125">
        <v>70859.25</v>
      </c>
      <c r="F87" s="125">
        <v>491290.8</v>
      </c>
      <c r="G87" s="126" t="s">
        <v>153</v>
      </c>
    </row>
    <row r="88" spans="1:7" x14ac:dyDescent="0.25">
      <c r="A88" s="124">
        <v>8524</v>
      </c>
      <c r="B88" t="s">
        <v>156</v>
      </c>
      <c r="C88" s="124">
        <v>21799</v>
      </c>
      <c r="D88" s="125">
        <v>66050.97</v>
      </c>
      <c r="E88" s="125">
        <v>268345.69</v>
      </c>
      <c r="F88" s="125">
        <v>152810.99</v>
      </c>
      <c r="G88" s="126" t="s">
        <v>157</v>
      </c>
    </row>
    <row r="89" spans="1:7" x14ac:dyDescent="0.25">
      <c r="A89" s="124">
        <v>8815</v>
      </c>
      <c r="B89" t="s">
        <v>152</v>
      </c>
      <c r="C89" s="124">
        <v>13596</v>
      </c>
      <c r="D89" s="125">
        <v>52072.68</v>
      </c>
      <c r="E89" s="125">
        <v>183002.16</v>
      </c>
      <c r="F89" s="125">
        <v>525077.52</v>
      </c>
      <c r="G89" s="126" t="s">
        <v>155</v>
      </c>
    </row>
    <row r="90" spans="1:7" x14ac:dyDescent="0.25">
      <c r="A90" s="124">
        <v>8823</v>
      </c>
      <c r="B90" t="s">
        <v>152</v>
      </c>
      <c r="C90" s="124">
        <v>11375</v>
      </c>
      <c r="D90" s="125">
        <v>43111.25</v>
      </c>
      <c r="E90" s="125">
        <v>81900</v>
      </c>
      <c r="F90" s="125">
        <v>282782.5</v>
      </c>
      <c r="G90" s="126" t="s">
        <v>153</v>
      </c>
    </row>
    <row r="91" spans="1:7" x14ac:dyDescent="0.25">
      <c r="A91" s="124">
        <v>8914</v>
      </c>
      <c r="B91" t="s">
        <v>156</v>
      </c>
      <c r="C91" s="124">
        <v>21663</v>
      </c>
      <c r="D91" s="125">
        <v>158139.9</v>
      </c>
      <c r="E91" s="125">
        <v>197566.55999999997</v>
      </c>
      <c r="F91" s="125">
        <v>872152.38</v>
      </c>
      <c r="G91" s="126" t="s">
        <v>155</v>
      </c>
    </row>
    <row r="92" spans="1:7" x14ac:dyDescent="0.25">
      <c r="A92" s="124">
        <v>8916</v>
      </c>
      <c r="B92" t="s">
        <v>154</v>
      </c>
      <c r="C92" s="124">
        <v>18469</v>
      </c>
      <c r="D92" s="125">
        <v>83664.570000000007</v>
      </c>
      <c r="E92" s="125">
        <v>197248.91999999998</v>
      </c>
      <c r="F92" s="125">
        <v>472437.01999999996</v>
      </c>
      <c r="G92" s="126" t="s">
        <v>153</v>
      </c>
    </row>
    <row r="93" spans="1:7" x14ac:dyDescent="0.25">
      <c r="A93" s="124">
        <v>8921</v>
      </c>
      <c r="B93" t="s">
        <v>154</v>
      </c>
      <c r="C93" s="124">
        <v>16811</v>
      </c>
      <c r="D93" s="125">
        <v>125746.28000000001</v>
      </c>
      <c r="E93" s="125">
        <v>96495.14</v>
      </c>
      <c r="F93" s="125">
        <v>383795.12999999995</v>
      </c>
      <c r="G93" s="126" t="s">
        <v>153</v>
      </c>
    </row>
    <row r="94" spans="1:7" x14ac:dyDescent="0.25">
      <c r="A94" s="124">
        <v>9127</v>
      </c>
      <c r="B94" t="s">
        <v>158</v>
      </c>
      <c r="C94" s="124">
        <v>8414</v>
      </c>
      <c r="D94" s="125">
        <v>53260.62</v>
      </c>
      <c r="E94" s="125">
        <v>113673.14</v>
      </c>
      <c r="F94" s="125">
        <v>162306.06</v>
      </c>
      <c r="G94" s="126" t="s">
        <v>153</v>
      </c>
    </row>
    <row r="95" spans="1:7" x14ac:dyDescent="0.25">
      <c r="A95" s="124">
        <v>9220</v>
      </c>
      <c r="B95" t="s">
        <v>154</v>
      </c>
      <c r="C95" s="124">
        <v>15448</v>
      </c>
      <c r="D95" s="125">
        <v>105973.28</v>
      </c>
      <c r="E95" s="125">
        <v>189701.44</v>
      </c>
      <c r="F95" s="125">
        <v>194644.8</v>
      </c>
      <c r="G95" s="126" t="s">
        <v>157</v>
      </c>
    </row>
    <row r="96" spans="1:7" x14ac:dyDescent="0.25">
      <c r="A96" s="124">
        <v>9421</v>
      </c>
      <c r="B96" t="s">
        <v>152</v>
      </c>
      <c r="C96" s="124">
        <v>13303</v>
      </c>
      <c r="D96" s="125">
        <v>64519.549999999996</v>
      </c>
      <c r="E96" s="125">
        <v>89396.160000000003</v>
      </c>
      <c r="F96" s="125">
        <v>112942.47</v>
      </c>
      <c r="G96" s="126" t="s">
        <v>157</v>
      </c>
    </row>
    <row r="97" spans="1:7" x14ac:dyDescent="0.25">
      <c r="A97" s="124">
        <v>9423</v>
      </c>
      <c r="B97" t="s">
        <v>154</v>
      </c>
      <c r="C97" s="124">
        <v>17784</v>
      </c>
      <c r="D97" s="125">
        <v>157744.07999999999</v>
      </c>
      <c r="E97" s="125">
        <v>252354.96</v>
      </c>
      <c r="F97" s="125">
        <v>726832.08</v>
      </c>
      <c r="G97" s="126" t="s">
        <v>155</v>
      </c>
    </row>
    <row r="98" spans="1:7" x14ac:dyDescent="0.25">
      <c r="A98" s="124">
        <v>9515</v>
      </c>
      <c r="B98" t="s">
        <v>154</v>
      </c>
      <c r="C98" s="124">
        <v>19791</v>
      </c>
      <c r="D98" s="125">
        <v>48290.04</v>
      </c>
      <c r="E98" s="125">
        <v>252928.97999999998</v>
      </c>
      <c r="F98" s="125">
        <v>390872.25</v>
      </c>
      <c r="G98" s="126" t="s">
        <v>153</v>
      </c>
    </row>
    <row r="99" spans="1:7" x14ac:dyDescent="0.25">
      <c r="A99" s="124">
        <v>9520</v>
      </c>
      <c r="B99" t="s">
        <v>154</v>
      </c>
      <c r="C99" s="124">
        <v>18932</v>
      </c>
      <c r="D99" s="125">
        <v>67587.239999999991</v>
      </c>
      <c r="E99" s="125">
        <v>286819.8</v>
      </c>
      <c r="F99" s="125">
        <v>112077.44</v>
      </c>
      <c r="G99" s="126" t="s">
        <v>157</v>
      </c>
    </row>
    <row r="100" spans="1:7" x14ac:dyDescent="0.25">
      <c r="A100" s="124">
        <v>9717</v>
      </c>
      <c r="B100" t="s">
        <v>158</v>
      </c>
      <c r="C100" s="124">
        <v>9893</v>
      </c>
      <c r="D100" s="125">
        <v>40363.440000000002</v>
      </c>
      <c r="E100" s="125">
        <v>77363.260000000009</v>
      </c>
      <c r="F100" s="125">
        <v>387113.09</v>
      </c>
      <c r="G100" s="126" t="s">
        <v>155</v>
      </c>
    </row>
    <row r="101" spans="1:7" x14ac:dyDescent="0.25">
      <c r="A101" s="124">
        <v>9720</v>
      </c>
      <c r="B101" t="s">
        <v>158</v>
      </c>
      <c r="C101" s="124">
        <v>8276</v>
      </c>
      <c r="D101" s="125">
        <v>23503.84</v>
      </c>
      <c r="E101" s="125">
        <v>59835.48</v>
      </c>
      <c r="F101" s="125">
        <v>279066.71999999997</v>
      </c>
      <c r="G101" s="126" t="s">
        <v>153</v>
      </c>
    </row>
    <row r="102" spans="1:7" x14ac:dyDescent="0.25">
      <c r="A102" s="124">
        <v>9818</v>
      </c>
      <c r="B102" t="s">
        <v>152</v>
      </c>
      <c r="C102" s="124">
        <v>11471</v>
      </c>
      <c r="D102" s="125">
        <v>71693.75</v>
      </c>
      <c r="E102" s="125">
        <v>163461.75</v>
      </c>
      <c r="F102" s="125">
        <v>166673.63</v>
      </c>
      <c r="G102" s="126" t="s">
        <v>153</v>
      </c>
    </row>
    <row r="103" spans="1:7" x14ac:dyDescent="0.25">
      <c r="A103" s="124">
        <v>9922</v>
      </c>
      <c r="B103" t="s">
        <v>158</v>
      </c>
      <c r="C103" s="124">
        <v>8100</v>
      </c>
      <c r="D103" s="125">
        <v>51516</v>
      </c>
      <c r="E103" s="125">
        <v>123444</v>
      </c>
      <c r="F103" s="125">
        <v>360774</v>
      </c>
      <c r="G103" s="126" t="s">
        <v>155</v>
      </c>
    </row>
  </sheetData>
  <mergeCells count="1">
    <mergeCell ref="A1:G1"/>
  </mergeCells>
  <pageMargins left="0.7" right="0.7" top="0.75" bottom="0.75" header="0.3" footer="0.3"/>
  <pageSetup orientation="portrait" verticalDpi="601"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ublished="0" codeName="Sheet7"/>
  <dimension ref="B1:K33"/>
  <sheetViews>
    <sheetView workbookViewId="0"/>
  </sheetViews>
  <sheetFormatPr defaultRowHeight="15" x14ac:dyDescent="0.25"/>
  <cols>
    <col min="2" max="9" width="8.140625" customWidth="1"/>
    <col min="10" max="10" width="14" bestFit="1" customWidth="1"/>
    <col min="11" max="11" width="2" customWidth="1"/>
  </cols>
  <sheetData>
    <row r="1" spans="2:11" ht="15.75" thickBot="1" x14ac:dyDescent="0.3"/>
    <row r="2" spans="2:11" ht="15" customHeight="1" x14ac:dyDescent="0.25">
      <c r="B2" s="154" t="s">
        <v>159</v>
      </c>
      <c r="C2" s="155"/>
      <c r="D2" s="155"/>
      <c r="E2" s="155"/>
      <c r="F2" s="155"/>
      <c r="G2" s="155"/>
      <c r="H2" s="155"/>
      <c r="I2" s="155"/>
      <c r="J2" s="155"/>
      <c r="K2" s="156"/>
    </row>
    <row r="3" spans="2:11" x14ac:dyDescent="0.25">
      <c r="B3" s="157"/>
      <c r="C3" s="158"/>
      <c r="D3" s="158"/>
      <c r="E3" s="158"/>
      <c r="F3" s="158"/>
      <c r="G3" s="158"/>
      <c r="H3" s="158"/>
      <c r="I3" s="158"/>
      <c r="J3" s="158"/>
      <c r="K3" s="159"/>
    </row>
    <row r="4" spans="2:11" x14ac:dyDescent="0.25">
      <c r="B4" s="157"/>
      <c r="C4" s="158"/>
      <c r="D4" s="158"/>
      <c r="E4" s="158"/>
      <c r="F4" s="158"/>
      <c r="G4" s="158"/>
      <c r="H4" s="158"/>
      <c r="I4" s="158"/>
      <c r="J4" s="158"/>
      <c r="K4" s="159"/>
    </row>
    <row r="5" spans="2:11" x14ac:dyDescent="0.25">
      <c r="B5" s="157"/>
      <c r="C5" s="158"/>
      <c r="D5" s="158"/>
      <c r="E5" s="158"/>
      <c r="F5" s="158"/>
      <c r="G5" s="158"/>
      <c r="H5" s="158"/>
      <c r="I5" s="158"/>
      <c r="J5" s="158"/>
      <c r="K5" s="159"/>
    </row>
    <row r="6" spans="2:11" x14ac:dyDescent="0.25">
      <c r="B6" s="157"/>
      <c r="C6" s="158"/>
      <c r="D6" s="158"/>
      <c r="E6" s="158"/>
      <c r="F6" s="158"/>
      <c r="G6" s="158"/>
      <c r="H6" s="158"/>
      <c r="I6" s="158"/>
      <c r="J6" s="158"/>
      <c r="K6" s="159"/>
    </row>
    <row r="7" spans="2:11" x14ac:dyDescent="0.25">
      <c r="B7" s="157"/>
      <c r="C7" s="158"/>
      <c r="D7" s="158"/>
      <c r="E7" s="158"/>
      <c r="F7" s="158"/>
      <c r="G7" s="158"/>
      <c r="H7" s="158"/>
      <c r="I7" s="158"/>
      <c r="J7" s="158"/>
      <c r="K7" s="159"/>
    </row>
    <row r="8" spans="2:11" x14ac:dyDescent="0.25">
      <c r="B8" s="157"/>
      <c r="C8" s="158"/>
      <c r="D8" s="158"/>
      <c r="E8" s="158"/>
      <c r="F8" s="158"/>
      <c r="G8" s="158"/>
      <c r="H8" s="158"/>
      <c r="I8" s="158"/>
      <c r="J8" s="158"/>
      <c r="K8" s="159"/>
    </row>
    <row r="9" spans="2:11" x14ac:dyDescent="0.25">
      <c r="B9" s="157"/>
      <c r="C9" s="158"/>
      <c r="D9" s="158"/>
      <c r="E9" s="158"/>
      <c r="F9" s="158"/>
      <c r="G9" s="158"/>
      <c r="H9" s="158"/>
      <c r="I9" s="158"/>
      <c r="J9" s="158"/>
      <c r="K9" s="159"/>
    </row>
    <row r="10" spans="2:11" x14ac:dyDescent="0.25">
      <c r="B10" s="157"/>
      <c r="C10" s="158"/>
      <c r="D10" s="158"/>
      <c r="E10" s="158"/>
      <c r="F10" s="158"/>
      <c r="G10" s="158"/>
      <c r="H10" s="158"/>
      <c r="I10" s="158"/>
      <c r="J10" s="158"/>
      <c r="K10" s="159"/>
    </row>
    <row r="11" spans="2:11" x14ac:dyDescent="0.25">
      <c r="B11" s="157"/>
      <c r="C11" s="158"/>
      <c r="D11" s="158"/>
      <c r="E11" s="158"/>
      <c r="F11" s="158"/>
      <c r="G11" s="158"/>
      <c r="H11" s="158"/>
      <c r="I11" s="158"/>
      <c r="J11" s="158"/>
      <c r="K11" s="159"/>
    </row>
    <row r="12" spans="2:11" x14ac:dyDescent="0.25">
      <c r="B12" s="157"/>
      <c r="C12" s="158"/>
      <c r="D12" s="158"/>
      <c r="E12" s="158"/>
      <c r="F12" s="158"/>
      <c r="G12" s="158"/>
      <c r="H12" s="158"/>
      <c r="I12" s="158"/>
      <c r="J12" s="158"/>
      <c r="K12" s="159"/>
    </row>
    <row r="13" spans="2:11" x14ac:dyDescent="0.25">
      <c r="B13" s="157"/>
      <c r="C13" s="158"/>
      <c r="D13" s="158"/>
      <c r="E13" s="158"/>
      <c r="F13" s="158"/>
      <c r="G13" s="158"/>
      <c r="H13" s="158"/>
      <c r="I13" s="158"/>
      <c r="J13" s="158"/>
      <c r="K13" s="159"/>
    </row>
    <row r="14" spans="2:11" x14ac:dyDescent="0.25">
      <c r="B14" s="157"/>
      <c r="C14" s="158"/>
      <c r="D14" s="158"/>
      <c r="E14" s="158"/>
      <c r="F14" s="158"/>
      <c r="G14" s="158"/>
      <c r="H14" s="158"/>
      <c r="I14" s="158"/>
      <c r="J14" s="158"/>
      <c r="K14" s="159"/>
    </row>
    <row r="15" spans="2:11" ht="15.75" thickBot="1" x14ac:dyDescent="0.3">
      <c r="B15" s="160"/>
      <c r="C15" s="161"/>
      <c r="D15" s="161"/>
      <c r="E15" s="161"/>
      <c r="F15" s="161"/>
      <c r="G15" s="161"/>
      <c r="H15" s="161"/>
      <c r="I15" s="161"/>
      <c r="J15" s="161"/>
      <c r="K15" s="162"/>
    </row>
    <row r="17" spans="2:11" ht="15.75" thickBot="1" x14ac:dyDescent="0.3"/>
    <row r="18" spans="2:11" x14ac:dyDescent="0.25">
      <c r="B18" s="163" t="s">
        <v>160</v>
      </c>
      <c r="C18" s="164"/>
      <c r="D18" s="164"/>
      <c r="E18" s="164"/>
      <c r="F18" s="164"/>
      <c r="G18" s="164"/>
      <c r="H18" s="164"/>
      <c r="I18" s="164"/>
      <c r="J18" s="164"/>
      <c r="K18" s="165"/>
    </row>
    <row r="19" spans="2:11" x14ac:dyDescent="0.25">
      <c r="B19" s="96"/>
      <c r="C19" s="18"/>
      <c r="D19" s="18"/>
      <c r="E19" s="18"/>
      <c r="F19" s="18"/>
      <c r="G19" s="18"/>
      <c r="H19" s="18"/>
      <c r="I19" s="18"/>
      <c r="J19" s="18"/>
      <c r="K19" s="95"/>
    </row>
    <row r="20" spans="2:11" ht="14.45" customHeight="1" x14ac:dyDescent="0.25">
      <c r="B20" s="202" t="s">
        <v>161</v>
      </c>
      <c r="C20" s="203"/>
      <c r="D20" s="203"/>
      <c r="E20" s="203"/>
      <c r="F20" s="203"/>
      <c r="G20" s="203"/>
      <c r="H20" s="203"/>
      <c r="I20" s="203"/>
      <c r="J20" s="114"/>
      <c r="K20" s="95"/>
    </row>
    <row r="21" spans="2:11" x14ac:dyDescent="0.25">
      <c r="B21" s="202"/>
      <c r="C21" s="203"/>
      <c r="D21" s="203"/>
      <c r="E21" s="203"/>
      <c r="F21" s="203"/>
      <c r="G21" s="203"/>
      <c r="H21" s="203"/>
      <c r="I21" s="203"/>
      <c r="J21" s="18"/>
      <c r="K21" s="95"/>
    </row>
    <row r="22" spans="2:11" x14ac:dyDescent="0.25">
      <c r="B22" s="96"/>
      <c r="C22" s="18"/>
      <c r="D22" s="18"/>
      <c r="E22" s="18"/>
      <c r="F22" s="18"/>
      <c r="G22" s="18"/>
      <c r="H22" s="18"/>
      <c r="I22" s="18"/>
      <c r="J22" s="18"/>
      <c r="K22" s="95"/>
    </row>
    <row r="23" spans="2:11" ht="14.45" customHeight="1" x14ac:dyDescent="0.25">
      <c r="B23" s="202" t="s">
        <v>162</v>
      </c>
      <c r="C23" s="203"/>
      <c r="D23" s="203"/>
      <c r="E23" s="203"/>
      <c r="F23" s="203"/>
      <c r="G23" s="203"/>
      <c r="H23" s="203"/>
      <c r="I23" s="203"/>
      <c r="J23" s="114"/>
      <c r="K23" s="95"/>
    </row>
    <row r="24" spans="2:11" x14ac:dyDescent="0.25">
      <c r="B24" s="202"/>
      <c r="C24" s="203"/>
      <c r="D24" s="203"/>
      <c r="E24" s="203"/>
      <c r="F24" s="203"/>
      <c r="G24" s="203"/>
      <c r="H24" s="203"/>
      <c r="I24" s="203"/>
      <c r="J24" s="18"/>
      <c r="K24" s="95"/>
    </row>
    <row r="25" spans="2:11" x14ac:dyDescent="0.25">
      <c r="B25" s="96"/>
      <c r="C25" s="18"/>
      <c r="D25" s="18"/>
      <c r="E25" s="18"/>
      <c r="F25" s="18"/>
      <c r="G25" s="18"/>
      <c r="H25" s="18"/>
      <c r="I25" s="18"/>
      <c r="J25" s="18"/>
      <c r="K25" s="95"/>
    </row>
    <row r="26" spans="2:11" ht="14.45" customHeight="1" x14ac:dyDescent="0.25">
      <c r="B26" s="202" t="s">
        <v>163</v>
      </c>
      <c r="C26" s="203"/>
      <c r="D26" s="203"/>
      <c r="E26" s="203"/>
      <c r="F26" s="203"/>
      <c r="G26" s="203"/>
      <c r="H26" s="203"/>
      <c r="I26" s="203"/>
      <c r="J26" s="114"/>
      <c r="K26" s="95"/>
    </row>
    <row r="27" spans="2:11" x14ac:dyDescent="0.25">
      <c r="B27" s="202"/>
      <c r="C27" s="203"/>
      <c r="D27" s="203"/>
      <c r="E27" s="203"/>
      <c r="F27" s="203"/>
      <c r="G27" s="203"/>
      <c r="H27" s="203"/>
      <c r="I27" s="203"/>
      <c r="J27" s="18"/>
      <c r="K27" s="95"/>
    </row>
    <row r="28" spans="2:11" x14ac:dyDescent="0.25">
      <c r="B28" s="96"/>
      <c r="C28" s="18"/>
      <c r="D28" s="18"/>
      <c r="E28" s="18"/>
      <c r="F28" s="18"/>
      <c r="G28" s="18"/>
      <c r="H28" s="18"/>
      <c r="I28" s="18"/>
      <c r="J28" s="18"/>
      <c r="K28" s="95"/>
    </row>
    <row r="29" spans="2:11" x14ac:dyDescent="0.25">
      <c r="B29" s="127" t="s">
        <v>164</v>
      </c>
      <c r="C29" s="18"/>
      <c r="D29" s="18"/>
      <c r="E29" s="18"/>
      <c r="F29" s="18"/>
      <c r="G29" s="18"/>
      <c r="H29" s="18"/>
      <c r="I29" s="18"/>
      <c r="J29" s="114"/>
      <c r="K29" s="95"/>
    </row>
    <row r="30" spans="2:11" x14ac:dyDescent="0.25">
      <c r="B30" s="96"/>
      <c r="C30" s="18"/>
      <c r="D30" s="18"/>
      <c r="E30" s="18"/>
      <c r="F30" s="18"/>
      <c r="G30" s="18"/>
      <c r="H30" s="18"/>
      <c r="I30" s="18"/>
      <c r="J30" s="18"/>
      <c r="K30" s="95"/>
    </row>
    <row r="31" spans="2:11" ht="14.45" customHeight="1" x14ac:dyDescent="0.25">
      <c r="B31" s="202" t="s">
        <v>165</v>
      </c>
      <c r="C31" s="203"/>
      <c r="D31" s="203"/>
      <c r="E31" s="203"/>
      <c r="F31" s="203"/>
      <c r="G31" s="203"/>
      <c r="H31" s="203"/>
      <c r="I31" s="203"/>
      <c r="J31" s="114"/>
      <c r="K31" s="95"/>
    </row>
    <row r="32" spans="2:11" x14ac:dyDescent="0.25">
      <c r="B32" s="202"/>
      <c r="C32" s="203"/>
      <c r="D32" s="203"/>
      <c r="E32" s="203"/>
      <c r="F32" s="203"/>
      <c r="G32" s="203"/>
      <c r="H32" s="203"/>
      <c r="I32" s="203"/>
      <c r="J32" s="18"/>
      <c r="K32" s="95"/>
    </row>
    <row r="33" spans="2:11" ht="15.75" thickBot="1" x14ac:dyDescent="0.3">
      <c r="B33" s="204"/>
      <c r="C33" s="205"/>
      <c r="D33" s="205"/>
      <c r="E33" s="205"/>
      <c r="F33" s="205"/>
      <c r="G33" s="205"/>
      <c r="H33" s="205"/>
      <c r="I33" s="205"/>
      <c r="J33" s="21"/>
      <c r="K33" s="107"/>
    </row>
  </sheetData>
  <mergeCells count="6">
    <mergeCell ref="B31:I33"/>
    <mergeCell ref="B2:K15"/>
    <mergeCell ref="B18:K18"/>
    <mergeCell ref="B20:I21"/>
    <mergeCell ref="B23:I24"/>
    <mergeCell ref="B26:I27"/>
  </mergeCells>
  <dataValidations count="5">
    <dataValidation type="list" allowBlank="1" showInputMessage="1" showErrorMessage="1" sqref="J20" xr:uid="{00000000-0002-0000-0800-000000000000}">
      <formula1>Q1PT</formula1>
    </dataValidation>
    <dataValidation type="list" allowBlank="1" showInputMessage="1" showErrorMessage="1" sqref="J23" xr:uid="{00000000-0002-0000-0800-000001000000}">
      <formula1>Q2PT</formula1>
    </dataValidation>
    <dataValidation type="list" allowBlank="1" showInputMessage="1" showErrorMessage="1" sqref="J26" xr:uid="{00000000-0002-0000-0800-000002000000}">
      <formula1>Q3PT</formula1>
    </dataValidation>
    <dataValidation type="list" allowBlank="1" showInputMessage="1" showErrorMessage="1" sqref="J29" xr:uid="{00000000-0002-0000-0800-000003000000}">
      <formula1>Q4PT</formula1>
    </dataValidation>
    <dataValidation type="list" allowBlank="1" showInputMessage="1" showErrorMessage="1" sqref="J31" xr:uid="{00000000-0002-0000-0800-000004000000}">
      <formula1>Q5PT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ublished="0" codeName="Sheet9"/>
  <dimension ref="A1:J37"/>
  <sheetViews>
    <sheetView workbookViewId="0"/>
  </sheetViews>
  <sheetFormatPr defaultRowHeight="15" x14ac:dyDescent="0.25"/>
  <cols>
    <col min="2" max="2" width="22.140625" bestFit="1" customWidth="1"/>
    <col min="3" max="3" width="10.140625" bestFit="1" customWidth="1"/>
  </cols>
  <sheetData>
    <row r="1" spans="1:10" ht="15.75" thickBot="1" x14ac:dyDescent="0.3">
      <c r="A1" s="128"/>
    </row>
    <row r="2" spans="1:10" ht="15" customHeight="1" x14ac:dyDescent="0.25">
      <c r="B2" s="206" t="s">
        <v>166</v>
      </c>
      <c r="C2" s="207"/>
      <c r="D2" s="207"/>
      <c r="E2" s="207"/>
      <c r="F2" s="208"/>
    </row>
    <row r="3" spans="1:10" x14ac:dyDescent="0.25">
      <c r="B3" s="209"/>
      <c r="C3" s="210"/>
      <c r="D3" s="210"/>
      <c r="E3" s="210"/>
      <c r="F3" s="211"/>
    </row>
    <row r="4" spans="1:10" x14ac:dyDescent="0.25">
      <c r="B4" s="209"/>
      <c r="C4" s="210"/>
      <c r="D4" s="210"/>
      <c r="E4" s="210"/>
      <c r="F4" s="211"/>
    </row>
    <row r="5" spans="1:10" x14ac:dyDescent="0.25">
      <c r="B5" s="209"/>
      <c r="C5" s="210"/>
      <c r="D5" s="210"/>
      <c r="E5" s="210"/>
      <c r="F5" s="211"/>
    </row>
    <row r="6" spans="1:10" x14ac:dyDescent="0.25">
      <c r="B6" s="209"/>
      <c r="C6" s="210"/>
      <c r="D6" s="210"/>
      <c r="E6" s="210"/>
      <c r="F6" s="211"/>
      <c r="J6" s="129"/>
    </row>
    <row r="7" spans="1:10" x14ac:dyDescent="0.25">
      <c r="B7" s="209"/>
      <c r="C7" s="210"/>
      <c r="D7" s="210"/>
      <c r="E7" s="210"/>
      <c r="F7" s="211"/>
      <c r="J7" s="130"/>
    </row>
    <row r="8" spans="1:10" x14ac:dyDescent="0.25">
      <c r="B8" s="209"/>
      <c r="C8" s="210"/>
      <c r="D8" s="210"/>
      <c r="E8" s="210"/>
      <c r="F8" s="211"/>
      <c r="J8" s="130"/>
    </row>
    <row r="9" spans="1:10" x14ac:dyDescent="0.25">
      <c r="B9" s="209"/>
      <c r="C9" s="210"/>
      <c r="D9" s="210"/>
      <c r="E9" s="210"/>
      <c r="F9" s="211"/>
      <c r="J9" s="130"/>
    </row>
    <row r="10" spans="1:10" x14ac:dyDescent="0.25">
      <c r="B10" s="209"/>
      <c r="C10" s="210"/>
      <c r="D10" s="210"/>
      <c r="E10" s="210"/>
      <c r="F10" s="211"/>
      <c r="J10" s="130"/>
    </row>
    <row r="11" spans="1:10" ht="15.75" thickBot="1" x14ac:dyDescent="0.3">
      <c r="B11" s="212"/>
      <c r="C11" s="213"/>
      <c r="D11" s="213"/>
      <c r="E11" s="213"/>
      <c r="F11" s="214"/>
      <c r="J11" s="130"/>
    </row>
    <row r="12" spans="1:10" x14ac:dyDescent="0.25">
      <c r="J12" s="130"/>
    </row>
    <row r="13" spans="1:10" x14ac:dyDescent="0.25">
      <c r="B13" s="131"/>
      <c r="C13" s="132" t="s">
        <v>167</v>
      </c>
      <c r="D13" s="132" t="s">
        <v>168</v>
      </c>
      <c r="E13" s="132" t="s">
        <v>169</v>
      </c>
      <c r="F13" s="132" t="s">
        <v>170</v>
      </c>
    </row>
    <row r="14" spans="1:10" x14ac:dyDescent="0.25">
      <c r="B14" s="133" t="s">
        <v>171</v>
      </c>
      <c r="C14" s="134">
        <v>50</v>
      </c>
      <c r="D14" s="134">
        <v>50</v>
      </c>
      <c r="E14" s="134">
        <v>50</v>
      </c>
      <c r="F14" s="134">
        <v>50</v>
      </c>
    </row>
    <row r="15" spans="1:10" x14ac:dyDescent="0.25">
      <c r="B15" s="133" t="s">
        <v>172</v>
      </c>
      <c r="C15" s="134">
        <v>600</v>
      </c>
      <c r="D15" s="134">
        <v>500</v>
      </c>
      <c r="E15" s="134">
        <v>400</v>
      </c>
      <c r="F15" s="134">
        <v>300</v>
      </c>
    </row>
    <row r="16" spans="1:10" x14ac:dyDescent="0.25">
      <c r="B16" s="135"/>
      <c r="C16" s="136"/>
      <c r="D16" s="136"/>
      <c r="E16" s="136"/>
      <c r="F16" s="136"/>
    </row>
    <row r="17" spans="2:6" x14ac:dyDescent="0.25">
      <c r="B17" s="135" t="s">
        <v>173</v>
      </c>
      <c r="C17" s="137">
        <v>2.5</v>
      </c>
      <c r="D17" s="137">
        <v>3.25</v>
      </c>
      <c r="E17" s="137">
        <v>3.5</v>
      </c>
      <c r="F17" s="137">
        <v>5</v>
      </c>
    </row>
    <row r="18" spans="2:6" x14ac:dyDescent="0.25">
      <c r="B18" s="135" t="s">
        <v>174</v>
      </c>
      <c r="C18" s="137">
        <v>1.8</v>
      </c>
      <c r="D18" s="137">
        <v>1.5</v>
      </c>
      <c r="E18" s="137">
        <v>2</v>
      </c>
      <c r="F18" s="137">
        <v>2.7</v>
      </c>
    </row>
    <row r="19" spans="2:6" x14ac:dyDescent="0.25">
      <c r="B19" s="135" t="s">
        <v>175</v>
      </c>
      <c r="C19" s="137">
        <f>C17-C18</f>
        <v>0.7</v>
      </c>
      <c r="D19" s="137">
        <f>D17-D18</f>
        <v>1.75</v>
      </c>
      <c r="E19" s="137">
        <f>E17-E18</f>
        <v>1.5</v>
      </c>
      <c r="F19" s="137">
        <f>F17-F18</f>
        <v>2.2999999999999998</v>
      </c>
    </row>
    <row r="20" spans="2:6" x14ac:dyDescent="0.25">
      <c r="B20" s="138"/>
      <c r="C20" s="136"/>
      <c r="D20" s="136"/>
      <c r="E20" s="136"/>
      <c r="F20" s="136"/>
    </row>
    <row r="21" spans="2:6" x14ac:dyDescent="0.25">
      <c r="B21" s="139" t="s">
        <v>176</v>
      </c>
      <c r="C21" s="140"/>
      <c r="D21" s="140"/>
      <c r="E21" s="140"/>
      <c r="F21" s="140"/>
    </row>
    <row r="22" spans="2:6" x14ac:dyDescent="0.25">
      <c r="B22" s="141" t="s">
        <v>177</v>
      </c>
      <c r="C22" s="142">
        <v>0.5</v>
      </c>
      <c r="D22" s="142">
        <v>1.25</v>
      </c>
      <c r="E22" s="142">
        <v>1.75</v>
      </c>
      <c r="F22" s="142">
        <v>3.25</v>
      </c>
    </row>
    <row r="23" spans="2:6" x14ac:dyDescent="0.25">
      <c r="B23" s="141" t="s">
        <v>178</v>
      </c>
      <c r="C23" s="142">
        <v>0.3</v>
      </c>
      <c r="D23" s="142">
        <v>0.75</v>
      </c>
      <c r="E23" s="142">
        <v>0.3</v>
      </c>
      <c r="F23" s="142">
        <v>0.75</v>
      </c>
    </row>
    <row r="24" spans="2:6" x14ac:dyDescent="0.25">
      <c r="B24" s="141" t="s">
        <v>179</v>
      </c>
      <c r="C24" s="142">
        <v>0.4</v>
      </c>
      <c r="D24" s="142">
        <v>1</v>
      </c>
      <c r="E24" s="142">
        <v>1</v>
      </c>
      <c r="F24" s="142">
        <v>2</v>
      </c>
    </row>
    <row r="25" spans="2:6" x14ac:dyDescent="0.25">
      <c r="B25" s="141" t="s">
        <v>180</v>
      </c>
      <c r="C25" s="142">
        <v>0.2</v>
      </c>
      <c r="D25" s="142">
        <v>0.3</v>
      </c>
      <c r="E25" s="142">
        <v>0.25</v>
      </c>
      <c r="F25" s="142">
        <v>0.25</v>
      </c>
    </row>
    <row r="26" spans="2:6" x14ac:dyDescent="0.25">
      <c r="B26" s="141" t="s">
        <v>181</v>
      </c>
      <c r="C26" s="142">
        <v>0.5</v>
      </c>
      <c r="D26" s="142">
        <v>0</v>
      </c>
      <c r="E26" s="142">
        <v>0.5</v>
      </c>
      <c r="F26" s="142">
        <v>0</v>
      </c>
    </row>
    <row r="27" spans="2:6" x14ac:dyDescent="0.25">
      <c r="B27" s="141" t="s">
        <v>182</v>
      </c>
      <c r="C27" s="142">
        <v>0.5</v>
      </c>
      <c r="D27" s="142">
        <v>0.4</v>
      </c>
      <c r="E27" s="142">
        <v>0.4</v>
      </c>
      <c r="F27" s="142">
        <v>0.6</v>
      </c>
    </row>
    <row r="28" spans="2:6" x14ac:dyDescent="0.25">
      <c r="B28" s="138"/>
      <c r="C28" s="136"/>
      <c r="D28" s="136"/>
      <c r="E28" s="136"/>
      <c r="F28" s="136"/>
    </row>
    <row r="29" spans="2:6" x14ac:dyDescent="0.25">
      <c r="B29" s="138"/>
      <c r="C29" s="143" t="s">
        <v>183</v>
      </c>
      <c r="D29" s="143" t="s">
        <v>184</v>
      </c>
      <c r="E29" s="136"/>
      <c r="F29" s="136"/>
    </row>
    <row r="30" spans="2:6" x14ac:dyDescent="0.25">
      <c r="B30" s="135" t="s">
        <v>177</v>
      </c>
      <c r="C30" s="142">
        <f t="shared" ref="C30:C35" si="0">SUMPRODUCT($C$14:$F$14,C22:F22)</f>
        <v>337.5</v>
      </c>
      <c r="D30" s="142">
        <v>2000</v>
      </c>
      <c r="E30" s="138"/>
      <c r="F30" s="138"/>
    </row>
    <row r="31" spans="2:6" x14ac:dyDescent="0.25">
      <c r="B31" s="135" t="s">
        <v>178</v>
      </c>
      <c r="C31" s="142">
        <f t="shared" si="0"/>
        <v>105</v>
      </c>
      <c r="D31" s="142">
        <v>500</v>
      </c>
      <c r="E31" s="138"/>
      <c r="F31" s="138"/>
    </row>
    <row r="32" spans="2:6" x14ac:dyDescent="0.25">
      <c r="B32" s="135" t="s">
        <v>179</v>
      </c>
      <c r="C32" s="142">
        <f t="shared" si="0"/>
        <v>220</v>
      </c>
      <c r="D32" s="142">
        <v>1200</v>
      </c>
      <c r="E32" s="138"/>
      <c r="F32" s="138"/>
    </row>
    <row r="33" spans="2:6" x14ac:dyDescent="0.25">
      <c r="B33" s="135" t="s">
        <v>180</v>
      </c>
      <c r="C33" s="142">
        <f t="shared" si="0"/>
        <v>50</v>
      </c>
      <c r="D33" s="142">
        <v>500</v>
      </c>
      <c r="E33" s="138"/>
      <c r="F33" s="138"/>
    </row>
    <row r="34" spans="2:6" x14ac:dyDescent="0.25">
      <c r="B34" s="135" t="s">
        <v>181</v>
      </c>
      <c r="C34" s="142">
        <f t="shared" si="0"/>
        <v>50</v>
      </c>
      <c r="D34" s="142">
        <v>600</v>
      </c>
      <c r="E34" s="138"/>
      <c r="F34" s="138"/>
    </row>
    <row r="35" spans="2:6" x14ac:dyDescent="0.25">
      <c r="B35" s="135" t="s">
        <v>182</v>
      </c>
      <c r="C35" s="142">
        <f t="shared" si="0"/>
        <v>95</v>
      </c>
      <c r="D35" s="142">
        <v>800</v>
      </c>
      <c r="E35" s="138"/>
      <c r="F35" s="138"/>
    </row>
    <row r="36" spans="2:6" x14ac:dyDescent="0.25">
      <c r="B36" s="136"/>
      <c r="C36" s="136"/>
      <c r="D36" s="136"/>
      <c r="E36" s="136"/>
      <c r="F36" s="136"/>
    </row>
    <row r="37" spans="2:6" x14ac:dyDescent="0.25">
      <c r="B37" s="133" t="s">
        <v>185</v>
      </c>
      <c r="C37" s="137">
        <f>SUMPRODUCT(C14:F14,C19:F19)</f>
        <v>312.5</v>
      </c>
      <c r="D37" s="136"/>
      <c r="E37" s="136"/>
      <c r="F37" s="136"/>
    </row>
  </sheetData>
  <mergeCells count="1">
    <mergeCell ref="B2:F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Sheet10"/>
  <dimension ref="A1:A59"/>
  <sheetViews>
    <sheetView workbookViewId="0"/>
  </sheetViews>
  <sheetFormatPr defaultRowHeight="15" x14ac:dyDescent="0.25"/>
  <cols>
    <col min="1" max="1" width="12.85546875" bestFit="1" customWidth="1"/>
  </cols>
  <sheetData>
    <row r="1" spans="1:1" x14ac:dyDescent="0.25">
      <c r="A1" t="s">
        <v>186</v>
      </c>
    </row>
    <row r="2" spans="1:1" x14ac:dyDescent="0.25">
      <c r="A2" t="s">
        <v>109</v>
      </c>
    </row>
    <row r="3" spans="1:1" x14ac:dyDescent="0.25">
      <c r="A3" t="s">
        <v>110</v>
      </c>
    </row>
    <row r="4" spans="1:1" x14ac:dyDescent="0.25">
      <c r="A4" t="s">
        <v>111</v>
      </c>
    </row>
    <row r="6" spans="1:1" x14ac:dyDescent="0.25">
      <c r="A6" t="s">
        <v>187</v>
      </c>
    </row>
    <row r="7" spans="1:1" x14ac:dyDescent="0.25">
      <c r="A7" t="s">
        <v>188</v>
      </c>
    </row>
    <row r="8" spans="1:1" x14ac:dyDescent="0.25">
      <c r="A8" t="s">
        <v>189</v>
      </c>
    </row>
    <row r="9" spans="1:1" x14ac:dyDescent="0.25">
      <c r="A9" t="s">
        <v>190</v>
      </c>
    </row>
    <row r="10" spans="1:1" x14ac:dyDescent="0.25">
      <c r="A10" t="s">
        <v>191</v>
      </c>
    </row>
    <row r="11" spans="1:1" x14ac:dyDescent="0.25">
      <c r="A11" t="s">
        <v>192</v>
      </c>
    </row>
    <row r="13" spans="1:1" x14ac:dyDescent="0.25">
      <c r="A13" t="s">
        <v>193</v>
      </c>
    </row>
    <row r="14" spans="1:1" x14ac:dyDescent="0.25">
      <c r="A14" t="s">
        <v>109</v>
      </c>
    </row>
    <row r="15" spans="1:1" x14ac:dyDescent="0.25">
      <c r="A15" t="s">
        <v>110</v>
      </c>
    </row>
    <row r="16" spans="1:1" x14ac:dyDescent="0.25">
      <c r="A16" t="s">
        <v>111</v>
      </c>
    </row>
    <row r="18" spans="1:1" x14ac:dyDescent="0.25">
      <c r="A18" t="s">
        <v>194</v>
      </c>
    </row>
    <row r="19" spans="1:1" x14ac:dyDescent="0.25">
      <c r="A19" t="s">
        <v>109</v>
      </c>
    </row>
    <row r="20" spans="1:1" x14ac:dyDescent="0.25">
      <c r="A20" t="s">
        <v>110</v>
      </c>
    </row>
    <row r="21" spans="1:1" x14ac:dyDescent="0.25">
      <c r="A21" t="s">
        <v>111</v>
      </c>
    </row>
    <row r="23" spans="1:1" x14ac:dyDescent="0.25">
      <c r="A23" t="s">
        <v>195</v>
      </c>
    </row>
    <row r="24" spans="1:1" x14ac:dyDescent="0.25">
      <c r="A24" t="s">
        <v>196</v>
      </c>
    </row>
    <row r="25" spans="1:1" x14ac:dyDescent="0.25">
      <c r="A25" t="s">
        <v>197</v>
      </c>
    </row>
    <row r="27" spans="1:1" x14ac:dyDescent="0.25">
      <c r="A27" t="s">
        <v>198</v>
      </c>
    </row>
    <row r="28" spans="1:1" x14ac:dyDescent="0.25">
      <c r="A28" t="s">
        <v>155</v>
      </c>
    </row>
    <row r="29" spans="1:1" x14ac:dyDescent="0.25">
      <c r="A29" t="s">
        <v>157</v>
      </c>
    </row>
    <row r="30" spans="1:1" x14ac:dyDescent="0.25">
      <c r="A30" t="s">
        <v>153</v>
      </c>
    </row>
    <row r="32" spans="1:1" x14ac:dyDescent="0.25">
      <c r="A32" t="s">
        <v>199</v>
      </c>
    </row>
    <row r="33" spans="1:1" x14ac:dyDescent="0.25">
      <c r="A33" t="s">
        <v>200</v>
      </c>
    </row>
    <row r="34" spans="1:1" x14ac:dyDescent="0.25">
      <c r="A34" t="s">
        <v>201</v>
      </c>
    </row>
    <row r="35" spans="1:1" x14ac:dyDescent="0.25">
      <c r="A35" t="s">
        <v>202</v>
      </c>
    </row>
    <row r="36" spans="1:1" x14ac:dyDescent="0.25">
      <c r="A36" t="s">
        <v>203</v>
      </c>
    </row>
    <row r="37" spans="1:1" x14ac:dyDescent="0.25">
      <c r="A37" t="s">
        <v>204</v>
      </c>
    </row>
    <row r="38" spans="1:1" x14ac:dyDescent="0.25">
      <c r="A38" t="s">
        <v>205</v>
      </c>
    </row>
    <row r="40" spans="1:1" x14ac:dyDescent="0.25">
      <c r="A40" t="s">
        <v>206</v>
      </c>
    </row>
    <row r="41" spans="1:1" x14ac:dyDescent="0.25">
      <c r="A41" t="s">
        <v>207</v>
      </c>
    </row>
    <row r="42" spans="1:1" x14ac:dyDescent="0.25">
      <c r="A42" t="s">
        <v>208</v>
      </c>
    </row>
    <row r="43" spans="1:1" x14ac:dyDescent="0.25">
      <c r="A43" t="s">
        <v>209</v>
      </c>
    </row>
    <row r="44" spans="1:1" x14ac:dyDescent="0.25">
      <c r="A44" t="s">
        <v>210</v>
      </c>
    </row>
    <row r="45" spans="1:1" x14ac:dyDescent="0.25">
      <c r="A45" t="s">
        <v>211</v>
      </c>
    </row>
    <row r="47" spans="1:1" x14ac:dyDescent="0.25">
      <c r="A47" t="s">
        <v>212</v>
      </c>
    </row>
    <row r="48" spans="1:1" x14ac:dyDescent="0.25">
      <c r="A48" t="s">
        <v>213</v>
      </c>
    </row>
    <row r="49" spans="1:1" x14ac:dyDescent="0.25">
      <c r="A49" t="s">
        <v>214</v>
      </c>
    </row>
    <row r="50" spans="1:1" x14ac:dyDescent="0.25">
      <c r="A50" t="s">
        <v>215</v>
      </c>
    </row>
    <row r="51" spans="1:1" x14ac:dyDescent="0.25">
      <c r="A51" t="s">
        <v>216</v>
      </c>
    </row>
    <row r="52" spans="1:1" x14ac:dyDescent="0.25">
      <c r="A52" t="s">
        <v>217</v>
      </c>
    </row>
    <row r="54" spans="1:1" x14ac:dyDescent="0.25">
      <c r="A54" t="s">
        <v>218</v>
      </c>
    </row>
    <row r="55" spans="1:1" x14ac:dyDescent="0.25">
      <c r="A55" s="144" t="s">
        <v>219</v>
      </c>
    </row>
    <row r="56" spans="1:1" x14ac:dyDescent="0.25">
      <c r="A56" s="144" t="s">
        <v>220</v>
      </c>
    </row>
    <row r="57" spans="1:1" x14ac:dyDescent="0.25">
      <c r="A57" s="144" t="s">
        <v>221</v>
      </c>
    </row>
    <row r="58" spans="1:1" x14ac:dyDescent="0.25">
      <c r="A58" s="144" t="s">
        <v>222</v>
      </c>
    </row>
    <row r="59" spans="1:1" x14ac:dyDescent="0.25">
      <c r="A59" s="144" t="s">
        <v>223</v>
      </c>
    </row>
  </sheetData>
  <pageMargins left="0.7" right="0.7" top="0.75" bottom="0.75" header="0.3" footer="0.3"/>
</worksheet>
</file>

<file path=customUI/_rels/customUI14.xml.rels><?xml version="1.0" encoding="UTF-8" standalone="yes"?>
<Relationships xmlns="http://schemas.openxmlformats.org/package/2006/relationships"><Relationship Id="submit" Type="http://schemas.openxmlformats.org/officeDocument/2006/relationships/image" Target="images/submit.png"/><Relationship Id="assignment" Type="http://schemas.openxmlformats.org/officeDocument/2006/relationships/image" Target="images/assignment.png"/><Relationship Id="report" Type="http://schemas.openxmlformats.org/officeDocument/2006/relationships/image" Target="images/report.png"/><Relationship Id="task" Type="http://schemas.openxmlformats.org/officeDocument/2006/relationships/image" Target="images/task.png"/></Relationships>
</file>

<file path=customUI/customUI14.xml><?xml version="1.0" encoding="utf-8"?>
<customUI xmlns="http://schemas.microsoft.com/office/2009/07/customui" onLoad="rbx_onLoad">
  <ribbon>
    <tabs>
      <tab id="tabAssignment" label="Assignment">
        <group id="grpInstructions" label="Show Instructions">
          <button id="btnShowInBrowser" label="Instruction Sheet" size="large" onAction="xShowInBrowser" image="assignment"/>
          <button id="btnShowTasks" label="Task Guide" size="large" onAction="xShowTaskBox" image="task"/>
        </group>
        <group id="grpsubmit" label="Automatic Scoring">
          <button id="btnSubmit" label="Submit" size="large" onAction="xSubmit" image="submit"/>
          <button id="btnViewGrade" label="View Report" size="large" onAction="xViewGradeSheet" image="re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Get Started</vt:lpstr>
      <vt:lpstr>Amortization</vt:lpstr>
      <vt:lpstr>Four Js Painting</vt:lpstr>
      <vt:lpstr>Google</vt:lpstr>
      <vt:lpstr>Spending</vt:lpstr>
      <vt:lpstr>Event Profit</vt:lpstr>
      <vt:lpstr>Past Events</vt:lpstr>
      <vt:lpstr>PivotTable Questions</vt:lpstr>
      <vt:lpstr>Bakery</vt:lpstr>
      <vt:lpstr>Q1Options</vt:lpstr>
      <vt:lpstr>Q1PT</vt:lpstr>
      <vt:lpstr>Q2Options</vt:lpstr>
      <vt:lpstr>Q2PT</vt:lpstr>
      <vt:lpstr>Q3Options</vt:lpstr>
      <vt:lpstr>Q3PT</vt:lpstr>
      <vt:lpstr>Q4Options</vt:lpstr>
      <vt:lpstr>Q4PT</vt:lpstr>
      <vt:lpstr>Q5Options</vt:lpstr>
      <vt:lpstr>Q5PT</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Associate Editor</dc:creator>
  <cp:lastModifiedBy>Travis</cp:lastModifiedBy>
  <dcterms:created xsi:type="dcterms:W3CDTF">2015-08-11T15:26:50Z</dcterms:created>
  <dcterms:modified xsi:type="dcterms:W3CDTF">2018-02-26T03:31:50Z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YXNn_W2i0WVi2Eld0aU]0:0">
    <vt:lpwstr>Mn9</vt:lpwstr>
  </property>
  <property fmtid="{D5CDD505-2E9C-101B-9397-08002B2CF9AE}" pid="3" name="[Za-m1rRM0q2M_Wt-]0:0">
    <vt:lpwstr>NnUl</vt:lpwstr>
  </property>
  <property fmtid="{D5CDD505-2E9C-101B-9397-08002B2CF9AE}" pid="4" name="[Za-m1rRV1GljYWRQ1axkTG-iZQ]0:0">
    <vt:lpwstr>N5</vt:lpwstr>
  </property>
  <property fmtid="{D5CDD505-2E9C-101B-9397-08002B2CF9AE}" pid="5" name="[Za-m1rRE0r2i0Gx6ZFBm0rBM_Wt-]0:0">
    <vt:lpwstr>MTA</vt:lpwstr>
  </property>
  <property fmtid="{D5CDD505-2E9C-101B-9397-08002B2CF9AE}" pid="6" name="[Za-m1rRM0qN60Eld0aU]0:0">
    <vt:lpwstr>MT9</vt:lpwstr>
  </property>
  <property fmtid="{D5CDD505-2E9C-101B-9397-08002B2CF9AE}" pid="7" name="[Yql-YXJS2Wl-1k]0:0">
    <vt:lpwstr>2HJpZQ</vt:lpwstr>
  </property>
  <property fmtid="{D5CDD505-2E9C-101B-9397-08002B2CF9AE}" pid="8" name="[2XBg0qF9ZWRC3Q]0:0">
    <vt:lpwstr>Ta-8_mBCYWlg</vt:lpwstr>
  </property>
  <property fmtid="{D5CDD505-2E9C-101B-9397-08002B2CF9AE}" pid="9" name="[1XV-1rRd0qtCYXR8_E-E]0:0">
    <vt:lpwstr>MT1sODEsMDMlMnQmMnMsMDQsMQ</vt:lpwstr>
  </property>
  <property fmtid="{D5CDD505-2E9C-101B-9397-08002B2CF9AE}" pid="10" name="[2G-hZUFn1q-b0ap-0bRV1GljYWR-ZA]0:0">
    <vt:lpwstr>MTUlNnMrNT1kND9oNCsr</vt:lpwstr>
  </property>
  <property fmtid="{D5CDD505-2E9C-101B-9397-08002B2CF9AE}" pid="11" name="[Yqxp1bN-SUQ]0:0">
    <vt:lpwstr>N8Qr</vt:lpwstr>
  </property>
  <property fmtid="{D5CDD505-2E9C-101B-9397-08002B2CF9AE}" pid="12" name="[YWNo_XZd2H-JRA]0:0">
    <vt:lpwstr>MTMqNnQtMTQnNnYnNnInOD1sNQ</vt:lpwstr>
  </property>
  <property fmtid="{D5CDD505-2E9C-101B-9397-08002B2CF9AE}" pid="13" name="[YWN80rVi2GF7_Wld2H9]0:0">
    <vt:lpwstr>R9YkMEImQn5</vt:lpwstr>
  </property>
  <property fmtid="{D5CDD505-2E9C-101B-9397-08002B2CF9AE}" pid="14" name="[2G-hZURj2qtg0qF9ZWQ]0:0">
    <vt:lpwstr>MTUlOTUmNnEoNDQnMCsrODY</vt:lpwstr>
  </property>
  <property fmtid="{D5CDD505-2E9C-101B-9397-08002B2CF9AE}" pid="15" name="[ZGxr0aljYWR-ZEJtTaFhZQ]0:0">
    <vt:lpwstr>VHJ62a-nIFN-YWk</vt:lpwstr>
  </property>
  <property fmtid="{D5CDD505-2E9C-101B-9397-08002B2CF9AE}" pid="16" name="[ZGxr0aljYWR-ZEJtRWp6_Wk]0:0">
    <vt:lpwstr>2HN-YWknQH2b2St-ZHU</vt:lpwstr>
  </property>
  <property fmtid="{D5CDD505-2E9C-101B-9397-08002B2CF9AE}" pid="17" name="[ZGxr0aljYWR-ZEJtVXN-19-E]0:0">
    <vt:lpwstr>MTYqNDEqNTEkMTElMDUkMTMrNk</vt:lpwstr>
  </property>
  <property fmtid="{D5CDD505-2E9C-101B-9397-08002B2CF9AE}" pid="18" name="[YWN8ZXNnVGxfZWs]0:0">
    <vt:lpwstr>Mn5mNGYqMaIrNTR6YTUmZD29Z8IrOD5mOWYnNnAsYaR7ZTMkYTEtZA</vt:lpwstr>
  </property>
  <property fmtid="{D5CDD505-2E9C-101B-9397-08002B2CF9AE}" pid="19" name="[1HJj1G6t0GF82G-8]0:0">
    <vt:lpwstr>RUpQVF9</vt:lpwstr>
  </property>
  <property fmtid="{D5CDD505-2E9C-101B-9397-08002B2CF9AE}" pid="20" name="[YXNn_W2i0WVi2FRt1GU]0:0">
    <vt:lpwstr>ZrJ6ZGV9</vt:lpwstr>
  </property>
  <property fmtid="{D5CDD505-2E9C-101B-9397-08002B2CF9AE}" pid="21" name="[Za-gZUt60WU]0:0">
    <vt:lpwstr>Vo2VUHJ6YrRdYqVF3GFhLWMsLb6g1qo</vt:lpwstr>
  </property>
  <property fmtid="{D5CDD505-2E9C-101B-9397-08002B2CF9AE}" pid="22" name="[YXRgYXNWZXJn_Wxi]0:0">
    <vt:lpwstr>MSsnMQ</vt:lpwstr>
  </property>
  <property fmtid="{D5CDD505-2E9C-101B-9397-08002B2CF9AE}" pid="23" name="[2G-hZUFn1q-b0ap-0bRD1aV62GV9]0:0">
    <vt:lpwstr>MSwnMCwmMDEsID5uNDMuMDA5UEo</vt:lpwstr>
  </property>
  <property fmtid="{D5CDD505-2E9C-101B-9397-08002B2CF9AE}" pid="24" name="[1aV8ZWtoVGxj0A]0:0">
    <vt:lpwstr>RUpQVF9</vt:lpwstr>
  </property>
  <property fmtid="{D5CDD505-2E9C-101B-9397-08002B2CF9AE}" pid="25" name="[Yqxh1Gl-2GVUYXNf1k]0:0">
    <vt:lpwstr>4A</vt:lpwstr>
  </property>
  <property fmtid="{D5CDD505-2E9C-101B-9397-08002B2CF9AE}" pid="26" name="[YXNn_W2i0WVi2ENmZWFo0rI]0:0">
    <vt:lpwstr>MTArMTUkOTQ</vt:lpwstr>
  </property>
  <property fmtid="{D5CDD505-2E9C-101B-9397-08002B2CF9AE}" pid="27" name="[YXVo_EVhYW-g]0:0">
    <vt:lpwstr>RUpQVF9</vt:lpwstr>
  </property>
  <property fmtid="{D5CDD505-2E9C-101B-9397-08002B2CF9AE}" pid="28" name="[2XN-1-Rt1GU]0:0">
    <vt:lpwstr>RUpQVF9</vt:lpwstr>
  </property>
  <property fmtid="{D5CDD505-2E9C-101B-9397-08002B2CF9AE}" pid="29" name="[1rV70W-n1q-j09-E]0:0">
    <vt:lpwstr>RUpQVF9</vt:lpwstr>
  </property>
  <property fmtid="{D5CDD505-2E9C-101B-9397-08002B2CF9AE}" pid="30" name="[1rV70W-n1q-j09ViZFRd0WU]0:0">
    <vt:lpwstr>RUpQVF9</vt:lpwstr>
  </property>
  <property fmtid="{D5CDD505-2E9C-101B-9397-08002B2CF9AE}" pid="31" name="[1rV70W-n1q-j0-No2WR-0bROYWp-]0:0">
    <vt:lpwstr>RUpQVF9</vt:lpwstr>
  </property>
  <property fmtid="{D5CDD505-2E9C-101B-9397-08002B2CF9AE}" pid="32" name="[1rV70W-n1q-j0-No2WR-0bRM_Wtf]0:0">
    <vt:lpwstr>RUpQVF9</vt:lpwstr>
  </property>
  <property fmtid="{D5CDD505-2E9C-101B-9397-08002B2CF9AE}" pid="33" name="[YqljYqhPZaZnZXQ]0:0">
    <vt:lpwstr>RUpQVF9</vt:lpwstr>
  </property>
  <property fmtid="{D5CDD505-2E9C-101B-9397-08002B2CF9AE}" pid="34" name="[1qNj1aVD0qR-]0:0">
    <vt:lpwstr>RUpQVF9</vt:lpwstr>
  </property>
  <property fmtid="{D5CDD505-2E9C-101B-9397-08002B2CF9AE}" pid="35" name="[_GFn_A]0:0">
    <vt:lpwstr>RUpQVF9</vt:lpwstr>
  </property>
  <property fmtid="{D5CDD505-2E9C-101B-9397-08002B2CF9AE}" pid="36" name="[ZGFoZUxkZWt-ZEp6Yk]0:0">
    <vt:lpwstr>RUpQVF9</vt:lpwstr>
  </property>
  <property fmtid="{D5CDD505-2E9C-101B-9397-08002B2CF9AE}" pid="37" name="[ZGFoZUxkZWt-ZF2d05]0:0">
    <vt:lpwstr>M7wmNCwmMDEsIDYuNTIuND95UEpwMTYiMA</vt:lpwstr>
  </property>
  <property fmtid="{D5CDD505-2E9C-101B-9397-08002B2CF9AE}" pid="38" name="[0GFoZUR-ZHV82G-j05]0:0">
    <vt:lpwstr>RUpQVF9</vt:lpwstr>
  </property>
  <property fmtid="{D5CDD505-2E9C-101B-9397-08002B2CF9AE}" pid="39" name="[ZGV72W1]0:0">
    <vt:lpwstr>RUpQVF9</vt:lpwstr>
  </property>
  <property fmtid="{D5CDD505-2E9C-101B-9397-08002B2CF9AE}" pid="40" name="[YXNn_W2i0WVi2A]0:40">
    <vt:lpwstr>3mJn2WJh_XNn_WxiVH-kZSIuIa2mYWR-ZCIgIaZd0GViYWp-I8c7Vo2VUHJ6YrRdYqVF3GFhLWMsLb6g1qo7LCJoYXNf1qVo1mIuWrg72GFn_rM7O-hvIat60WU7O7JOZWV9ZWQ5Uq6-ZXRnIEVs_XNoI7k7_WQ7O7JSVWZqZCIgIbR-3HQ7O7JU_G-nIHR61qg5Yq6-YqhnIHRjIHN-ZSBdZ7Bo_GU51rRpZGVi2CBr0rJfYaxj_mBcYXM5YWl</vt:lpwstr>
  </property>
  <property fmtid="{D5CDD505-2E9C-101B-9397-08002B2CF9AE}" pid="41" name="[YXNn_W2i0WVi2A]39:41">
    <vt:lpwstr>gIHRcZSBn_GV-2HM52G662CB61aU5ZX6kZWNoZWQ5ZaxmIG2mYWRd0a1iICBJZ7B6IHNcZWVoIG661mB7ZWViIGR-0GVoZWQ50rI5_XRnIGt60WU5YXM5YaV-07B8_GFiZqV9LCBo_GU51rRpZGVi2CBr_WlgIGJ-IGFgZXJoZWQiI7k71bVgZXM7O-hvIat60WU7O7JB0Wxm2G-uYXRd0qs5RX6d1rRnI7k71Gxd0bRnI8ckLCJhZXNnYW2-I8</vt:lpwstr>
  </property>
  <property fmtid="{D5CDD505-2E9C-101B-9397-08002B2CF9AE}" pid="42" name="[YXNn_W2i0WVi2A]40:42">
    <vt:lpwstr>c7VG6-IG2mYWR-17B-3HB-YrRnIHRjIGZd0aQ5YSBr0rJf1q6-ZXQ50aFhZWQ5XCJB0Wxm2G-uYXRd0qt1I7B72XQ5YqFiJrQiI7k7_WQ7O7Ja2GVSRmIgIaZj1app0GE7O7Ix1aVo2XJiUq6-ZXRF3G-n2HMcXCJB0Wxm2G-uYXRd0qt1I7974SlvIat60WU7O7JG0rVmIEdnIFB6_Wto_WtbIEVs_XNo1mIgIbBj_Wto1mIuMCk70WVn1qFbZ</vt:lpwstr>
  </property>
  <property fmtid="{D5CDD505-2E9C-101B-9397-08002B2CF9AE}" pid="43" name="[YXNn_W2i0WVi2A]41:43">
    <vt:lpwstr>SIuI-RcZSBb1aF9ZXI5ZX6kZWNo1mBo0mBa_Wt9IGE52qxm_rNcZWVoIGt60WV9IFk7Raxp17BK1mBQYW-i2G-iZpk7IGJp2CB8YWsb2Cs7LCJdZCIuIaR8_ENgI7k7Zaxm0XVgYSIuI8pmZXRp1atT_GV-2EVs_XNo1m61I9Zj2XI5SbM5UGFd0bRd0a21I7974SlvIat60WU7O7JH0qxb0GU5RX6d1rRnI7k71Gxd0bRnI8ckLCJhZXNnYW2-</vt:lpwstr>
  </property>
  <property fmtid="{D5CDD505-2E9C-101B-9397-08002B2CF9AE}" pid="44" name="[YXNn_W2i0WVi2A]42:44">
    <vt:lpwstr>I8c7VG6-IG2mYWR-17B-3HB-YrRnIHRjIGZd0aQ5YSBr0rJf1q6-ZXQ50aFhZWQ5XCJH0qxb0GV1I7B72XQ5YqFiJrQiI7k7_WQ7O7JrQ-2M1mIgIaZj1app0GE7O7Ix1aVo2XJiUq6-ZXRF3G-n2HMcXCJH0qxb0GV1I7974SlvIat60WU7O7JT1GViZG-iZmBF3G-n2HM7LCJk0q-i2HM7O8AgIap-1rN6ZqU7O7JU_GU5ZrJ6ZGVmIGVs1GV</vt:lpwstr>
  </property>
  <property fmtid="{D5CDD505-2E9C-101B-9397-08002B2CF9AE}" pid="45" name="[YXNn_W2i0WVi2A]43:45">
    <vt:lpwstr>82HM52Gw5Za-iZCB6IH2j1ahn_GV-2CBiYWp-ZCB1I-NkZWt9_WtbXCI5YbVoIGN6072oL7IgIa-9I8c73HRQ_9U7LCJa0rJh2Wl6I8c7PXJ-2HVm0-NcZWVoRX6d1rRnKFk7UrB-0aRd0a21I7974VpxLHg70aFhZSIuI-Bm0rB-17BDZWlg1mBG_WlgZWQ7LCJdZCIuI9ZNUrFeI7k72GVs2CIuI-Rc_XM52GFn_mB8_GV8_rM52Gw51qV-IG</vt:lpwstr>
  </property>
  <property fmtid="{D5CDD505-2E9C-101B-9397-08002B2CF9AE}" pid="46" name="[YXNn_W2i0WVi2A]44:46">
    <vt:lpwstr>-aIHRcZSBn2HV9ZWtoIG661mBa_WlgZWQ5_Ws5YWlgIGxaIHRcZSB8ZWlg1mBo_GFoIGFmZSB-3HB-YrR-ZCBo0mB7ZSBa_WlgZWQiI7k71bVgZXM7O-hvIat60WU7O7JB0Wxm2G-uYXRd0qs5QqVg0HM5Ra-g0GV9I7k71Gxd0bRnI8ckLCJhZXNnYW2-I8c7SXQ5YXBkZWFm1mBo_GFoIHRcZXJ-IGFmZSBn2G-g0CBn0qp-IGN-0GlnIGxiI</vt:lpwstr>
  </property>
  <property fmtid="{D5CDD505-2E9C-101B-9397-08002B2CF9AE}" pid="47" name="[YXNn_W2i0WVi2A]45:47">
    <vt:lpwstr>HRcZSB1I9Fh0rJo_Xd62G-j0-k7IHNcZWVoIHRcYXQ50aV-ZCBo0mB7ZSB80qpk0GVoZWQiI7k7_WQ7O7Jp19-_ZmIgIaZj1app0GE7O7IxQoxVT-RBKEFh0rJo_Xd62G-j07FDMTUgQWpj1bRd3aFo_WxiIU1lM8dHMTUgQWpj1bRd3aFo_WxiIUYlOSlB0Wxm2G-uYXRd0qs6RDIkO9YqNm9xMTUkIbog3mJiYWp-I8c7Raxp17BK1mBQYW-i</vt:lpwstr>
  </property>
  <property fmtid="{D5CDD505-2E9C-101B-9397-08002B2CF9AE}" pid="48" name="[YXNn_W2i0WVi2A]46:48">
    <vt:lpwstr>2G-iZmBDZWlg1mBG_WlgZWQ7LCJk0q-i2HM7O8AgIap-1rN6ZqU7O7JJ2CB61HB-YXJnIHRcYXQ52G6-1aU5YXJ-IHNo_WlgIHNj0WU5YqVg0HM50qs52G6-IFk7Raxp17BK1mBQYW-i2G-iZpk7IHNcZWVoIHRcYXQ50aV-ZCBo0mB7ZSB80qpk0GVoZWQiI7k7_WQ7O7JiVUZDSCIgIaZj1app0GE7O7IxQoxVT-RBKC2G0rVmIEdnIFB6_Wt</vt:lpwstr>
  </property>
  <property fmtid="{D5CDD505-2E9C-101B-9397-08002B2CF9AE}" pid="49" name="[YXNn_W2i0WVi2A]47:49">
    <vt:lpwstr>o_WtbJmFGMTYuR8MpLC2G0rVmIEdnIFB6_Wto_WtbJmFJMTYuS8MpLC2G0rVmIEdnIFB6_Wto_WtbJmFMMTYuTTMpLC2G0rVmIEdnIFB6_Wto_WtbJmFPMTYuTnMpLC2G0rVmIEdnIFB6_Wto_WtbJmFDNDAuRDQqLC2G0rVmIEdnIFB6_Wto_WtbJmFIMn9uTDQmLC2G0rVmIEdnIFB6_Wto_WtbJmFINDYuSnUkLC2G0rVmIEdnIFB6_Wto_W</vt:lpwstr>
  </property>
  <property fmtid="{D5CDD505-2E9C-101B-9397-08002B2CF9AE}" pid="50" name="[YXNn_W2i0WVi2A]48:50">
    <vt:lpwstr>tbJmFONDYuT8UkKTolNn974SlvIat60WU7O7JT1GViZG-iZmBDZWlg1mBG_WlgZWQ7LCJk0q-i2HM7O8AgIap-1rN6ZqU7O7JJ2CB61HB-YXJnIHRcYXQ52G6-1aU5YXJ-IHNo_WlgIHNj0WU5YqVg0HM50qs52G6-IFk7UrB-0aRd0a21I7Bn_GV-2CBo_GFoIGt-ZWQ52Gw5YaU5Yqxh1Gl-2GV9L7IgIa-9I8c7UUN_V9w7LCJa0rJh2Wl6I</vt:lpwstr>
  </property>
  <property fmtid="{D5CDD505-2E9C-101B-9397-08002B2CF9AE}" pid="51" name="[YXNn_W2i0WVi2A]49:51">
    <vt:lpwstr>8c7PUNPVUtUQS6T1GViZG-iZmFEMTAuRDEpLFNkZWt9_WtbIUUlODdLODEdPTQpNCJxLHg70aFhZSIuI-Rj2GFgIE2j0q2gZSBSZXZ-0bV-IENcYXJoIEVs_XNo1mIgIbBj_Wto1mIuMCk70WVn1qFbZSIuI-RcZXJ-IG-nIGtj2CB6IGNcYXJoIH2d2G552G6-IHRd2Gl-IFk7VGxoYWk5RqxjZql-IFJ-2aVi2WV1I7s5WWxpIH2d0Gk50axo</vt:lpwstr>
  </property>
  <property fmtid="{D5CDD505-2E9C-101B-9397-08002B2CF9AE}" pid="52" name="[YXNn_W2i0WVi2A]50:52">
    <vt:lpwstr>IHJ-YqVd2aU5YWttIHBj_Wto1mBa0rI52G6d1mB8_GFm2Cs7LCJdZCIuIaRd0qR7I7k7Zaxm0XVgYSIuI8pSZXRp1atO2WpD_GFm2EZj1-Rd2Gl-KFk7VGxoYWk5RqxjZql-IFJ-2aVi2WV1I79yMCJxLHg70aFhZSIuI92j0q2gZSBSZXZ-0bV-IGJtIFFpYXJoZXI5Qq661bQ5RX6d1rRnI7k71Gxd0bRnI8ckLCJhZXNnYW2-I8c7VG6-1aU</vt:lpwstr>
  </property>
  <property fmtid="{D5CDD505-2E9C-101B-9397-08002B2CF9AE}" pid="53" name="[YXNn_W2i0WVi2A]51:53">
    <vt:lpwstr>5_XM50axoIGE5Yq661bQ52q-o_CBo_GU52G-o0GU5XCJH0qxb0GU5UaVqZWtpZSB73SBR2WFm2GVmXCIiIF-j2SBr_WlgIGtj2CBmZWN-_XZ-IGFi3SBk0q-i2HM5ZaxmIHRc_XM5Yq661bQiI7k7_WQ7O7J8T9lj_7IgIaZj1app0GE7O7IxUaVo2XJiTbVhQq661bRG0rJU_XRgZS61I92j0q2gZSBSZXZ-0bV-IGJtIFFpYXJoZXJ1I79yMC</vt:lpwstr>
  </property>
  <property fmtid="{D5CDD505-2E9C-101B-9397-08002B2CF9AE}" pid="54" name="[YXNn_W2i0WVi2A]52:54">
    <vt:lpwstr>JxLHg70aFhZSIuI92j0q2gZSBSZXZ-0bV-IGJtIEJp1q-iZXNnIFN-Zqp-0bQ5Qq661bQ5RX6d1rRnI7k71Gxd0bRnI8ckLCJhZXNnYW2-I8c7VG6-1aU5_XM50axoIGE5Yq661bQ52q-o_CBo_GU52G-o0GU5XCJH0qxb0GU5UaVqZWtpZSB73SBC2XNd0aVn1mBTZW2hZWtoXCIiIF-j2SBr_WlgIGtj2CBmZWN-_XZ-IGFi3SBk0q-i2HM5Z</vt:lpwstr>
  </property>
  <property fmtid="{D5CDD505-2E9C-101B-9397-08002B2CF9AE}" pid="55" name="[YXNn_W2i0WVi2A]53:55">
    <vt:lpwstr>axmIHRc_XM5Yq661bQiI7k7_WQ7O7Jo1pFfYmIgIaZj1app0GE7O7IxUaVo2XJiTbVhQq661bRG0rJU_XRgZS61I92j0q2gZSBSZXZ-0bV-IGJtIEJp1q-iZXNnIFN-Zqp-0bR1I79yMCJxLHg70aFhZSIuI92j0q2gZSBSZXZ-0bV-IEld0aU5Qq661bQ5RX6d1rRnI7k71Gxd0bRnI8ckLCJhZXNnYW2-I8c7VG6-1aU5_XM50axoIGE5Yq66</vt:lpwstr>
  </property>
  <property fmtid="{D5CDD505-2E9C-101B-9397-08002B2CF9AE}" pid="56" name="[YXNn_W2i0WVi2A]54:56">
    <vt:lpwstr>1bQ52q-o_CBo_GU52G-o0GU5XCJH0qxb0GU5UaVqZWtpZSBM_Wt-XCIiIF-j2SBr_WlgIGtj2CBmZWN-_XZ-IGFi3SBk0q-i2HM5ZaxmIHRc_XM5Yq661bQiI7k7_WQ7O7JN_-VOS7IgIaZj1app0GE7O7IxUaVo2XJiTbVhQq661bRG0rJU_XRgZS61I92j0q2gZSBSZXZ-0bV-IEld0aV1I79yMCJxLHg70aFhZSIuI9pp0HRd1Gl-IFRj2GF</vt:lpwstr>
  </property>
  <property fmtid="{D5CDD505-2E9C-101B-9397-08002B2CF9AE}" pid="57" name="[YXNn_W2i0WVi2A]55:57">
    <vt:lpwstr>gIE2j0q2gZSBSZXZ-0bV-IENcYXJo1mBF3G-n2HM7LCJk0q-i2HM7O8AgIap-1rN6ZqU7O7JU_GVmZSBd1mBh0rJ-IHRcYWs50qt-IGNcYXJoIH2d2G552G6-IHRd2Gl-IFk7VGxoYWk5RqxjZql-IFJ-2aVi2WV1I7s5VG6-IH2m0qtbIGNcYXJoIGp63SB7ZSBb1aF9ZWQiI7k7_WQ7O7JTSqtIYSIgIaZj1app0GE7O7IxT9xUKFJ-2HVm09</vt:lpwstr>
  </property>
  <property fmtid="{D5CDD505-2E9C-101B-9397-08002B2CF9AE}" pid="58" name="[YXNn_W2i0WVi2A]56:58">
    <vt:lpwstr>tp0UNcYXJoRaxmVG-o0GUcXCJU0rR60CBH0qxb0GU5UaVqZWtpZVk7KTslKSJxLHg70aFhZSIuI9pp0HRd1Gl-IE2j0q2gZSBSZXZ-0bV-IGJtIFFpYXJoZXI5Qq661bRnIEVs_XNoI7k71Gxd0bRnI8ckLCJhZXNnYW2-I8c7VG6-1aU5_XM50WxmZSBo_GFiIGxiZSB8_GFm2CBr_XRcIHRcZSBo_XRgZSB1I92j0q2gZSBSZXZ-0bV-IGJtI</vt:lpwstr>
  </property>
  <property fmtid="{D5CDD505-2E9C-101B-9397-08002B2CF9AE}" pid="59" name="[YXNn_W2i0WVi2A]57:59">
    <vt:lpwstr>FFpYXJoZXJ1I7s5VG6-IH2m0qtbIGNcYXJoIGp63SB7ZSBb1aF9ZWQiI7k7_WQ7O7J_0bBo2CIgIaZj1app0GE7O7IxT9xUKFJ-2HVm09tp0UNcYXJoRaxmVG-o0GUcXCJH0qxb0GU5UaVqZWtpZSB73SBR2WFm2GVmXCIdP8EdIbog3mJiYWp-I8c7TXVg_XRk0GU5RqxjZql-IFJ-2aVi2WU5Yb95QbVn_Wt-1rM5UqVb0WVi2CBD_GFm2CBF</vt:lpwstr>
  </property>
  <property fmtid="{D5CDD505-2E9C-101B-9397-08002B2CF9AE}" pid="60" name="[YXNn_W2i0WVi2A]58:60">
    <vt:lpwstr>3G-n2HM7LCJk0q-i2HM7O8AgIap-1rN6ZqU7O7JU_GVmZSBd1mBh0rJ-IHRcYWs50qt-IGNcYXJoIH2d2G552G6-IHRd2Gl-IFk7RqxjZql-IFJ-2aVi2WU5Yb95QbVn_Wt-1rM5UqVb0WVi2Fk7L7BU_GU52rJj0a15Yq661bQ50WFtIGJ-IG2mYWR-ZCs7LCJdZCIuI-JYRUhGI7k7Zaxm0XVgYSIuI8pOTpQcUaVo2XJiTbVhQq661bRG0rJ</vt:lpwstr>
  </property>
  <property fmtid="{D5CDD505-2E9C-101B-9397-08002B2CF9AE}" pid="61" name="[YXNn_W2i0WVi2A]59:61">
    <vt:lpwstr>U_XRgZS61I92j0q2gZSBSZXZ-0bV-IGJtIEJp1q-iZXNnIFN-Zqp-0bR1I79yMS974SlvIat60WU7O7JN2Wlo_XBgZSBH0qxb0GU5UaVqZWtpZSBM_Wt-IENcYXJo1mBF3G-n2CIgIbBj_Wto1mIuMCk70WVn1qFbZSIuI-RcZXJ-IG-nIGpj1aU52G6607Bj0aU5Yq661bQ52q-o_CBo_GU52G-o0GU5XCJH0qxb0GU5UaVqZWtpZSBM_Wt-XC</vt:lpwstr>
  </property>
  <property fmtid="{D5CDD505-2E9C-101B-9397-08002B2CF9AE}" pid="62" name="[YXNn_W2i0WVi2A]60:62">
    <vt:lpwstr>IiIFRcZSBr1axiZmB8_GFm2CBhYX95YaU5ZrJ6ZGV9L7IgIa-9I8c7TENeZq97LCJa0rJh2Wl6I8c7PUtPVC6SZXRp1atO2WpD_GFm2EZj1-Rd2Gl-KFk7RqxjZql-IFJ-2aVi2WU5TG-iZVk7KTslKSJxXXog3mJiYWp-I8c7TaV-ZGV9IFNcZWVo1mBF3G-n2CIgIa-9I8c7Sp2HTEQ7LCJoZX6oI8c7VG6d1mBoYXNfIGNcZWNf1mBo0mBnZ</vt:lpwstr>
  </property>
  <property fmtid="{D5CDD505-2E9C-101B-9397-08002B2CF9AE}" pid="63" name="[YXNn_W2i0WVi2A]61:63">
    <vt:lpwstr>WU5_WY52G6-IHNo2WR-0bQ52qxm_qJj0qg5_GFnIGFg0CBo_GU51q6-ZXRnIHRcYXQ5YXJ-IGVs1GV82GV9IGZj17Bb1aF9_WtbL7A5SWY5YSBn_GV-2CBcYXM5YaV-07B9ZWl-2GV9IGxmIG-o1mBiYWp-IGFnIGJ-ZWs5Yq660a2-ZCk52G6-IHNo2WR-0bQ52q-g0CB7ZSB60GVm2GV9L7IgIbJp0GVnI8d03mJiYWp-I8c7RXZ-0bQ5UHJj</vt:lpwstr>
  </property>
  <property fmtid="{D5CDD505-2E9C-101B-9397-08002B2CF9AE}" pid="64" name="[YXNn_W2i0WVi2A]62:64">
    <vt:lpwstr>Za-oIEVs_XNo1mIgIbBj_Wto1mIuMCk70WVn1qFbZSIuI-RcZSBb1aF9ZXI5ZX6kZWNo1mBo0mBa_Wt9IGE52qxm_rNcZWVoIGt60WV9IFk7RXZ-0bQ5UHJjZa-oXCI5YbVoIGN6072oL7IgIa-9I8c70-Rr1Uk7LCJa0rJh2Wl6I8c7PXJ-2HVm0-NcZWVoRX6d1rRnKFk7RXZ-0bQ5UHJjZa-oXCIdIbog3mJiYWp-I8c7UGFn2CBF2aVi2HM</vt:lpwstr>
  </property>
  <property fmtid="{D5CDD505-2E9C-101B-9397-08002B2CF9AE}" pid="65" name="[YXNn_W2i0WVi2A]63:65">
    <vt:lpwstr>5RX6d1rRnI7k71Gxd0bRnI8ckLCJhZXNnYW2-I8c7VG6-IG2mYWR-17B-3HB-YrRnIHRjIGZd0aQ5YSBr0rJf1q6-ZXQ50aFhZWQ5XCJQYXNoIEVqZWto1pk7IGJp2CB8YWsb2Cs7LCJdZCIuIbFgSohNI7k7Zaxm0XVgYSIuI8pmZXRp1atT_GV-2EVs_XNo1m61I-B61rQ5RXZ-0bRnXCIdIbog3mJiYWp-I8c7UG-q0rRUYWJgZSBR2WVn2G</vt:lpwstr>
  </property>
  <property fmtid="{D5CDD505-2E9C-101B-9397-08002B2CF9AE}" pid="66" name="[YXNn_W2i0WVi2A]64:66">
    <vt:lpwstr>-j0bM5RX6d1rRnI7k71Gxd0bRnI8ckLCJhZXNnYW2-I8c7VG6-IG2mYWR-17B-3HB-YrRnIHRjIGZd0aQ5YSBr0rJf1q6-ZXQ50aFhZWQ5XCJQ_XZj2FR6Yal-IFFpZXNo_Wxi1pk7IGJp2CB8YWsb2Cs7LCJdZCIuIaF6YXFQI7k7Zaxm0XVgYSIuI8pmZXRp1atT_GV-2EVs_XNo1m61I-Bd2axoVGF70GU5UXV-1rRd0qtnXCIdIbog3mJiY</vt:lpwstr>
  </property>
  <property fmtid="{D5CDD505-2E9C-101B-9397-08002B2CF9AE}" pid="67" name="[YXNn_W2i0WVi2A]65:67">
    <vt:lpwstr>Wp-I8c7UFQlIEVs_XNo1mIgIbBj_Wto1mIuMCk70WVn1qFbZSIuI-RcZSBb1aF9ZXI5ZX6kZWNo1mBo0mBa_Wt9IGE52qxm_rNcZWVoIGt60WV9IFk7UFQlXCI5YbVoIGN6072oL7BU_GU5UG-q0rRUYWJgZSB61rNjYq-62GV9IH2d2G552G662CBr0rJf1q6-ZXQ5YqFi0axoIGJ-IG2mYWR-ZCs7LCJdZCIuIaZJSp6SI7k7Zaxm0XVgYSIu</vt:lpwstr>
  </property>
  <property fmtid="{D5CDD505-2E9C-101B-9397-08002B2CF9AE}" pid="68" name="[YXNn_W2i0WVi2A]66:68">
    <vt:lpwstr>I8pmZXRp1atT_GV-2EVs_XNo1m61I-BUMVk7KSJxLHg70aFhZSIuI-BUM7BF3G-n2HM7LCJk0q-i2HM7O8AgIap-1rN6ZqU7O7JU_GU5ZrJ6ZGVmIGVs1GV82HM52Gw5Za-iZCB6IH2j1ahn_GV-2CBiYWp-ZCB1I-BUM-k7IGJp2CB8YWsb2Cs5VG6-IFBd2axoVGF70GU5YXNn0qNdYXR-ZCBr_XRcIHRcYXQ52qxm_rNcZWVoIGN60atj2CB</vt:lpwstr>
  </property>
  <property fmtid="{D5CDD505-2E9C-101B-9397-08002B2CF9AE}" pid="69" name="[YXNn_W2i0WVi2A]67:69">
    <vt:lpwstr>7ZSBb1aF9ZWQiI7k7_WQ7O7JTRW2a_mIgIaZj1app0GE7O7Ix1aVo2XJiUq6-ZXRF3G-n2HMcXCJQVDJ1I7974SlvIat60WU7O7JQVDM5RX6d1rRnI7k71Gxd0bRnI8ckLCJhZXNnYW2-I8c7VG6-IG2mYWR-17B-3HB-YrRnIHRjIGZd0aQ5YSBr0rJf1q6-ZXQ50aFhZWQ5XCJQVDN1I7B72XQ5YqFiJrQiIFRcZSBQ_XZj2FR6Yal-IGFn1q</vt:lpwstr>
  </property>
  <property fmtid="{D5CDD505-2E9C-101B-9397-08002B2CF9AE}" pid="70" name="[YXNn_W2i0WVi2A]68:70">
    <vt:lpwstr>x8_WFoZWQ52q-o_CBo_GFoIH2j1ahn_GV-2CB8YWti0rQ5YaU5ZrJ6ZGV9L7IgIa-9I8c72WFDU9U7LCJa0rJh2Wl6I8c7PXJ-2HVm0-NcZWVoRX6d1rRnKFk7UFQnXCIdIbog3mJiYWp-I8c7UFQoIEVs_XNo1mIgIbBj_Wto1mIuMCk70WVn1qFbZSIuI-RcZSBb1aF9ZXI5ZX6kZWNo1mBo0mBa_Wt9IGE52qxm_rNcZWVoIGt60WV9IFk7U</vt:lpwstr>
  </property>
  <property fmtid="{D5CDD505-2E9C-101B-9397-08002B2CF9AE}" pid="71" name="[YXNn_W2i0WVi2A]69:71">
    <vt:lpwstr>FQoXCI5YbVoIGN6072oL7BU_GU5UG-q0rRUYWJgZSB61rNjYq-62GV9IH2d2G552G662CBr0rJf1q6-ZXQ5YqFi0axoIGJ-IG2mYWR-ZCs7LCJdZCIuI96E1rNEI7k7Zaxm0XVgYSIuI8pmZXRp1atT_GV-2EVs_XNo1m61I-BUNFk7KSJxLHg70aFhZSIuI-BUNSBF3G-n2HM7LCJk0q-i2HM7O8AgIap-1rN6ZqU7O7JU_GU5ZrJ6ZGVmIGVs</vt:lpwstr>
  </property>
  <property fmtid="{D5CDD505-2E9C-101B-9397-08002B2CF9AE}" pid="72" name="[YXNn_W2i0WVi2A]70:72">
    <vt:lpwstr>1GV82HM52Gw5Za-iZCB6IH2j1ahn_GV-2CBiYWp-ZCB1I-BUNVk7IGJp2CB8YWsb2Cs5VG6-IFBd2axoVGF70GU5YXNn0qNdYXR-ZCBr_XRcIHRcYXQ52qxm_rNcZWVoIGN60atj2CB7ZSBb1aF9ZWQiI7k7_WQ7O7JFZW2LSSIgIaZj1app0GE7O7Ix1aVo2XJiUq6-ZXRF3G-n2HMcXCJQVDV1I7974SlvIat60WU7O7JQVDE5_GFnIGtjIFB</vt:lpwstr>
  </property>
  <property fmtid="{D5CDD505-2E9C-101B-9397-08002B2CF9AE}" pid="73" name="[YXNn_W2i0WVi2A]71:73">
    <vt:lpwstr>U1mIgIbBj_Wto1mIuMCk70WVn1qFbZSIuI-RcZSBb1aF9ZXI5ZX6kZWNo1mBo0mBa_Wt9IGE5UG-q0rRUYWJgZSBSZXBj1bQ50qs52G6-IFBUMSBr0rJf1q6-ZXQgIGJp2CB8YWsb2Cs7LCJdZCIuI9FZ_bRiI7k7Zaxm0XVgYSIuI8pJR76Q_XZj2FR6Yal-Qqxp0bRa0rJT_GV-2C61I-BUMVk7KTokLEZBTFNFLFRSVUUdIbog3mJiYWp-I8</vt:lpwstr>
  </property>
  <property fmtid="{D5CDD505-2E9C-101B-9397-08002B2CF9AE}" pid="74" name="[YXNn_W2i0WVi2A]72:74">
    <vt:lpwstr>c7UFQmIG661mBi0mBQVHM7LCJk0q-i2HM7O8AgIap-1rN6ZqU7O7JU_GU5ZrJ6ZGVmIGVs1GV82HM52Gw5Za-iZCB6IFBd2axoVGF70GU5UaVk0rJoIGxiIHRcZSBQVDI52qxm_rNcZWVoLCB72XQ5YqFiJrQiI7k7_WQ7O7JD39ttWSIgIaZj1app0GE7O7IxSUYcUG-q0rRUYWJgZUNj2WtoZaxmUq6-ZXQcXCJQVDJ1I79xMClGQUlTRSlUU</vt:lpwstr>
  </property>
  <property fmtid="{D5CDD505-2E9C-101B-9397-08002B2CF9AE}" pid="75" name="[YXNn_W2i0WVi2A]73:75">
    <vt:lpwstr>-VFKSJxLHg70aFhZSIuI-BUMmBcYXM50aw5UFRnI7k71Gxd0bRnI8ckLCJhZXNnYW2-I8c7VG6-IG2mYWR-17B-3HB-YrRnIHRjIGZd0aQ5YSBQ_XZj2FR6Yal-IFJ-1Gxm2CBj07Bo_GU5UFQnIH2j1ahn_GV-2Ck5YbVoIGN6072oL7IgIa-9I8c7RGlj0H57LCJa0rJh2Wl6I8c7PU-GKFBd2axoVGF70GVD0rVi2GZj1-NcZWVoKFk7UFQn</vt:lpwstr>
  </property>
  <property fmtid="{D5CDD505-2E9C-101B-9397-08002B2CF9AE}" pid="76" name="[YXNn_W2i0WVi2A]74:76">
    <vt:lpwstr>XCIdPTAgR9FMUoUgVFJVRS974SlvIat60WU7O7JQVDQ5_GFnIGtjIFBU1mIgIbBj_Wto1mIuMCk70WVn1qFbZSIuI-RcZSBb1aF9ZXI5ZX6kZWNo1mBo0mBa_Wt9IGE5UG-q0rRUYWJgZSBSZXBj1bQ50qs52G6-IFBUNCBr0rJf1q6-ZXQgIGJp2CB8YWsb2Cs7LCJdZCIuIbNHZatJI7k7Zaxm0XVgYSIuI8pJR76Q_XZj2FR6Yal-Qqxp0bR</vt:lpwstr>
  </property>
  <property fmtid="{D5CDD505-2E9C-101B-9397-08002B2CF9AE}" pid="77" name="[YXNn_W2i0WVi2A]75:77">
    <vt:lpwstr>a0rJT_GV-2C61I-BUNFk7KTokLEZBTFNFLFRSVUUdIbog3mJiYWp-I8c7UFQpIG661mBi0mBQVHM7LCJk0q-i2HM7O8AgIap-1rN6ZqU7O7JU_GU5ZrJ6ZGVmIGVs1GV82HM52Gw5Za-iZCB6IFBd2axoVGF70GU5UaVk0rJoIGxiIHRcZSBQVDU52qxm_rNcZWVoLCB72XQ5YqFiJrQiI7k7_WQ7O7Js3UxB3CIgIaZj1app0GE7O7IxSUYcUG</vt:lpwstr>
  </property>
  <property fmtid="{D5CDD505-2E9C-101B-9397-08002B2CF9AE}" pid="78" name="[YXNn_W2i0WVi2A]76:78">
    <vt:lpwstr>-q0rRUYWJgZUNj2WtoZaxmUq6-ZXQcXCJQVDV1I79xMClGQUlTRSlUU-VFKSJxLHg70aFhZSIuI-BUMSBcYXM50XVg2G-k0GU5UFRnI7k71Gxd0bRnI8ckLCJhZXNnYW2-I8c7VG6-IG2mYWR-17BcYXM5Zaxp0aQ50XVg2G-k0GU5UG-q0rRUYWJgZSBSZXBj1bRnIGxiIHRcZSBQVDE52qxm_rNcZWVoIGFiZCBhYX950axoIG2mYWR-IHRcZ</vt:lpwstr>
  </property>
  <property fmtid="{D5CDD505-2E9C-101B-9397-08002B2CF9AE}" pid="79" name="[YXNn_W2i0WVi2A]77:79">
    <vt:lpwstr>SB80rJmZWNoIHJ-1Gxm2Cs7LCJdZCIuI9lK1U-YI7k7Zaxm0XVgYSIuI8pJR76Q_XZj2FR6Yal-Qqxp0bRa0rJT_GV-2C61I-BUMVk7KTslLEZBTFNFLFRSVUUdIbog3mJiYWp-I8c7UFQmIG661mBh2Wlo_XBgZSBQVHM7LCJk0q-i2HM7O8AgIap-1rN6ZqU7O7JU_GU5ZrJ6ZGVmIG661mBa0rViZCBh2Wlo_XBgZSBQ_XZj2FR6Yal-IFJ-</vt:lpwstr>
  </property>
  <property fmtid="{D5CDD505-2E9C-101B-9397-08002B2CF9AE}" pid="80" name="[YXNn_W2i0WVi2A]78:80">
    <vt:lpwstr>1Gxm2HM50qs52G6-IFBUM7Br0rJf1q6-ZXQ5YWt9IGp63SBi0rQ5ZrJ6ZGU52G6-IGNj1bJ-YrQ51aVk0rJoL7IgIa-9I8c7REVER-57LCJa0rJh2Wl6I8c7PU-GKFBd2axoVGF70GVD0rVi2GZj1-NcZWVoKFk7UFQmXCIdP8EgR9FMUoUgVFJVRS974SlvIat60WU7O7JQVDM5_GFnIGpp0HRd1Gl-IFBU1mIgIbBj_Wto1mIuMCk70WVn1qF</vt:lpwstr>
  </property>
  <property fmtid="{D5CDD505-2E9C-101B-9397-08002B2CF9AE}" pid="81" name="[YXNn_W2i0WVi2A]79:81">
    <vt:lpwstr>bZSIuI-RcZSBb1aF9ZXI5_GFnIGZj2Wt9IGpp0HRd1Gl-IFBd2axoVGF70GU5UaVk0rJo1mBj07Bo_GU5UFQnIH2j1ahn_GV-2CB60aQ50WFtIGtj2CBb1aF9ZSBo_GU5Yqxm1aV82CBmZXBj1bQiI7k7_WQ7O7Js096JTmIgIaZj1app0GE7O7IxSUYcUG-q0rRUYWJgZUNj2WtoZaxmUq6-ZXQcXCJQVDN1I79yMSlGQUlTRSlUU-VFKSJxLH</vt:lpwstr>
  </property>
  <property fmtid="{D5CDD505-2E9C-101B-9397-08002B2CF9AE}" pid="82" name="[YXNn_W2i0WVi2A]80:82">
    <vt:lpwstr>g70aFhZSIuI-BUNCBcYXM50XVg2G-k0GU5UFRnI7k71Gxd0bRnI8ckLCJhZXNnYW2-I8c7VG6-IG2mYWR-17BcYXM5Zaxp0aQ50XVg2G-k0GU5UG-q0rRUYWJgZSBSZXBj1bRnIGxiIHRcZSBQVDQ52qxm_rNcZWVoIGFiZCBhYX950axoIG2mYWR-IHRcZSB80rJmZWNoIHJ-1Gxm2Cs7LCJdZCIuI9p-Vb2QI7k7Zaxm0XVgYSIuI8pJR76Q_</vt:lpwstr>
  </property>
  <property fmtid="{D5CDD505-2E9C-101B-9397-08002B2CF9AE}" pid="83" name="[YXNn_W2i0WVi2A]81:83">
    <vt:lpwstr>XZj2FR6Yal-Qqxp0bRa0rJT_GV-2C61I-BUNFk7KTslLEZBTFNFLFRSVUUdIbog3mJiYWp-I8c7UFQpIG661mBh2Wlo_XBgZSBQVHM7LCJk0q-i2HM7O8AgIap-1rN6ZqU7O7JU_GU5ZrJ6ZGVmIG661mBa0rViZCBh2Wlo_XBgZSBQ_XZj2FR6Yal-IFJ-1Gxm2HM50qs52G6-IFBUNSBr0rJf1q6-ZXQ5YWt9IGp63SBi0rQ5ZrJ6ZGU52G6-</vt:lpwstr>
  </property>
  <property fmtid="{D5CDD505-2E9C-101B-9397-08002B2CF9AE}" pid="84" name="[YXNn_W2i0WVi2A]82:84">
    <vt:lpwstr>IGNj1bJ-YrQ51aVk0rJoL7IgIa-9I8c73HNHWU97LCJa0rJh2Wl6I8c7PU-GKFBd2axoVGF70GVD0rVi2GZj1-NcZWVoKFk7UFQpXCIdP8EgR9FMUoUgVFJVRS974SlvIat60WU7O7JF2aVi2CBQ1axa_XQ5VGFn_rM5Qqxh1Gl-2GU7LCJk0q-i2HM7O8AgIap-1rN6ZqU7O7JT0qp-IGxaIHRcZSBoYXNf1mBj07Bo_GU5RXZ-0bQ5UHJjZa-</vt:lpwstr>
  </property>
  <property fmtid="{D5CDD505-2E9C-101B-9397-08002B2CF9AE}" pid="85" name="[YXNn_W2i0WVi2A]83:85">
    <vt:lpwstr>oIH2j1ahn_GV-2CB61aU50axoIGNj0XBgZXR-L7IgIa-9I8c7UqJoUEU7LCJa0rJh2Wl6I8c7PUNPVUtUQS5bRXZ-0bQ5UHJjZa-oJmFDMTUuRTErLC2F2aVi2CBQ1axa_XQbIUMmMTdFM85gJoVqZWtoIFBm0qZd2C16QnMmO9MnNmkbRXZ-0bQ5UHJjZa-oJmFJN8dMOCkbRXZ-0bQ5UHJjZa-oJmFJMTEuSnElLC2F2aVi2CBQ1axa_XQbIU</vt:lpwstr>
  </property>
  <property fmtid="{D5CDD505-2E9C-101B-9397-08002B2CF9AE}" pid="86" name="[YXNn_W2i0WVi2A]84:86">
    <vt:lpwstr>9lN8dLMT5gJoVqZWtoIFBm0qZd2C16STImLC2F2aVi2CBQ1axa_XQbIUcmMndMM89gJoVqZWtoIFBm0qZd2C16TDMmO9koM79yPT5nIbog3mJiYWp-I8c7UFQ5UXV-1rRd0qtnIFR61qhnIENj0XBgZXR-I7k71Gxd0bRnI8ckLCJhZXNnYW2-I8c7UqxhZSBjZ7Bo_GU51XV-1rRd0qtnIGxiIHRcZSBQ_XZj2FR6Yal-IFFpZXNo_Wxi1mBr0</vt:lpwstr>
  </property>
  <property fmtid="{D5CDD505-2E9C-101B-9397-08002B2CF9AE}" pid="87" name="[YXNn_W2i0WVi2A]85:87">
    <vt:lpwstr>rJf1q6-ZXQ5_GFqZSBi0rQ5YaV-07B60bNrZXJ-ZCs7LCJdZCIuI92FQoVsI7k7Zaxm0XVgYSIuI8pDTpVOVEEcJpBd2axoVGF70GU5UXV-1rRd0qtnJmFKM8AgJpBd2axoVGF70GU5UXV-1rRd0qtnJmFKM8MgJpBd2axoVGF70GU5UXV-1rRd0qtnJmFKM8YgJpBd2axoVGF70GU5UXV-1rRd0qtnJmFKM89gJpBd2axoVGF70GU5UXV-1rRd</vt:lpwstr>
  </property>
  <property fmtid="{D5CDD505-2E9C-101B-9397-08002B2CF9AE}" pid="88" name="[YXNn_W2i0WVi2A]86:88">
    <vt:lpwstr>0qtnJmFKMnEdPTU74VpxXSk7_WQ7O7JH_p6c2CIgIbR-3HQ7O7JU_G-nIG-nIHRcZSBk1aV8_GV8_mBoYXNfIG2m0rVkL7BU_G-nIHR-3HQ5_XM50aVqZXI5ZG-n1Gl63WV9L7IgIbRd2Gl-I8c71HJ-Yq6-Yqg74SlvIbR61qhnI8d03mJm2Wl-1mIuWrg71Gxd0bRnI8clMSk70WVn1qFbZSIuI-RcZSBa0rJh2Wl6IHRjIGN60GNp0GFoZSB</vt:lpwstr>
  </property>
  <property fmtid="{D5CDD505-2E9C-101B-9397-08002B2CF9AE}" pid="89" name="[YXNn_W2i0WVi2A]87:89">
    <vt:lpwstr>kYX-hZWtoIGFh0rVi2CBd07B8ZWlgIEMlNSBd1mBi0rQ5Yqxm1aV82CIgIa-9I8c73EVOUXI74SlvIbBj_Wto1mIuMTIgIap-1rN6ZqU7O7JU_GU52aFg2WU5_Ws5YqVg0CBDMTU5_XM50axoIGNj1bJ-YrQ7LCJdZCIuIaV6WXFkIbog3mJk1aVk1ax81mIuWrg71GFmYWpnI8c74EFh0rJo_Xd62G-j07E9QmQlNXlB0Wxm2G-uYXRd0qs6Qn</vt:lpwstr>
  </property>
  <property fmtid="{D5CDD505-2E9C-101B-9397-08002B2CF9AE}" pid="90" name="[YXNn_W2i0WVi2A]88:90">
    <vt:lpwstr>ElO9MlMmIgIa-9I8c72WpKSao7LCJk1ax8ZWRp1aU7O7J8ZWlg1pJ-ZaVmZWt8ZWRJ09Zj1app0GE74VogIbBj_Wto1mIuMTEgIap-1rN6ZqU7O7JU_GU5Zaxm0XVgYSBd07B8ZWlgIEMlNSB90qVnIGtj2CBp1qU52G6-IGNj1bJ-YrQ51aVaZXJ-0aN-1mIgIa-9I8c72WlB3HI74VogIb6h0G-9I8c7ZacsNa17LCJc_WtoI8c7QWpj1bRd3</vt:lpwstr>
  </property>
  <property fmtid="{D5CDD505-2E9C-101B-9397-08002B2CF9AE}" pid="91" name="[YXNn_W2i0WVi2A]89:91">
    <vt:lpwstr>aFo_Wxi4EMlNSlDMTMgQnEmLEMlMSIgIat60WU7O7JQYX-hZWtoI7k7_WQ7O7JjTWxQVmIgIbR-3HQ7O7JDYWl82Wl62GU52G6-IHB63Wp-0bQ5YWpj2WtoIGZj17Bo_GU50Gx607Bd07B8ZWlgIEMlNSs5UaVaZXJ-0aN-IHRcZSB8ZWlg1mB80qtoYW-i_WtbIHRcZSB61HBm0rBm_WFoZSBg0qFiIG-iZaxm0WFo_WxiIGFnIHRcZSB61a2p</vt:lpwstr>
  </property>
  <property fmtid="{D5CDD505-2E9C-101B-9397-08002B2CF9AE}" pid="92" name="[YXNn_W2i0WVi2A]90:92">
    <vt:lpwstr>0WVi2HM5ZaxmIHRcZSBa2Wt82G-j07Bt0rU52XN-L7BDZWlg1mBDM8B12TIkMTNDN815_Ws52G6-IFk7UGFt0WVi2Fk7IGNj0HVh07B61aU51Gxk2Wl62GV9IH2d2G552G6-IHB63Wp-0bQ5YWpj2WtoIGZm0qo5YqVg0CBDMTUiIbog3mJm2Wl-1mIuWrg71Gxd0bRnI8cmLCJhZXNnYW2-I8c7VG6-IG-i2GVmZXNoIGFh0rVi2CBd07B8ZWl</vt:lpwstr>
  </property>
  <property fmtid="{D5CDD505-2E9C-101B-9397-08002B2CF9AE}" pid="93" name="[YXNn_W2i0WVi2A]91:93">
    <vt:lpwstr>gIEQmMCBd1mBd0aNj1bJ-YrQiI7k7_WQ7O7JJ1GRkWCJxLHg71HJ-1HJjYrM7O-hvIbB61aFh1mIuIblB0Wxm2G-uYXRd0qs6JEQ9M8BwQWpj1bRd3aFo_WxiIUYlOSk5QnEnI7k7_WQ7O7JZ_b-j27IgIbBm0qN-ZHVmZSIuIaN-0GlnUaVaZXJ-0aN-ZE-iRaxm0XVgYSJxXSk71Gxd0bRnI8clLCJhZXNnYW2-I8c7VG6-IG-i2GVmZXNoIG</vt:lpwstr>
  </property>
  <property fmtid="{D5CDD505-2E9C-101B-9397-08002B2CF9AE}" pid="94" name="[YXNn_W2i0WVi2A]92:94">
    <vt:lpwstr>Zj1app0GE5_Ws5YqVg0CBEM8A5ZGx-1mBi0rQ51aVaZXJ-0aN-IHRcZSB80rJmZWNoIGN-0GlnL7IgIa-9I8c72EZYYoo74VogIb6h0G-9I8c71r5n_HA7LCJc_WtoI8c7QWpj1bRd3aFo_Wxi4EYlOSlDMTMgRDIkI7k70aFhZSIuI9-i2GVmZXNoIFB-1a-jZCAlI7k7_WQ7O7JUQp6V0mIgIbR-3HQ7O7JDYWl82Wl62GUgIG-iIGN-0Gk5R</vt:lpwstr>
  </property>
  <property fmtid="{D5CDD505-2E9C-101B-9397-08002B2CF9AE}" pid="95" name="[YXNn_W2i0WVi2A]93:95">
    <vt:lpwstr>DIkLCBo_GU5_WtoZXJ-1rQ5YWpj2WtoIGZj17BkZXJd0qQ5MSB73SBh2Wlo_XBg3W-iZmBo_GU5YaFgYWt8ZSBd07BkZXJd0qQ5MCAcYqVg0CBGMT9dIGJtIHRcZSBg0qFiIG-i2GVmZXNoIHJ62GU5KGN-0Gk5QnEnKSB9_XZdZGV9IGJtIDEmL7BE_XZdZG-iZmBo_GU5_WtoZXJ-1rQ51aFoZSB73SAlM7BmZXNp0HRnIG-iIHRcZSBh0qto</vt:lpwstr>
  </property>
  <property fmtid="{D5CDD505-2E9C-101B-9397-08002B2CF9AE}" pid="96" name="[YXNn_W2i0WVi2A]94:96">
    <vt:lpwstr>_GltIG-i2GVmZXNoIHJ62GUiIFRc_XM5Zaxm0XVgYSBd1mBmZXVnYWJgZSs5VG6-IG-i2GVmZXNoIGZj17B6IG2d2aViIHB-1a-jZCBd1mB60H263XM52G6-IGpj0bRc0H95_WtoZXJ-1rQ51aFoZSBo_Wp-1mBo_GU5YaFgYWt8ZSBa1axhIHRcZSBk1aVq_Wxp1mBkZXJd0qQiIbog3mJm2Wl-1mIuWrg71Gxd0bRnI8cmLCJhZXNnYW2-I8c</vt:lpwstr>
  </property>
  <property fmtid="{D5CDD505-2E9C-101B-9397-08002B2CF9AE}" pid="97" name="[YXNn_W2i0WVi2A]95:97">
    <vt:lpwstr>7VG6-IG-i2GVmZXNoIHZ60HV-1mBd07B80qlp0Ws5RCB61aU50axoIGNj1bJ-YrQiI7k7_WQ7O7JH3URiRSJxXSk73Gpg_WQ7O7Jn3DNc1CIgIa6d0bQ7O7JB0Wxm2G-uYXRd0qtwRDIlO9QqNmIgIat60WU7O7JD0qpk0GVoZSBJ0bR-1aVn2CIgIa-9I8c7VpZf0XA7LCJoZX6oI8c7Qqxk3SBo_GU5_WtoZXJ-1rQ5YWpj2WtoIGN60GNp0G</vt:lpwstr>
  </property>
  <property fmtid="{D5CDD505-2E9C-101B-9397-08002B2CF9AE}" pid="98" name="[YXNn_W2i0WVi2A]96:98">
    <vt:lpwstr>Fo_WxiIGRj2qs52Gw5Yqxh1Gl-2GU52G6-IFk7SWtoZXJ-1rR1I7B80qlp0Ws50qY52G6-IGFh0rJo_Xd62G-j07BoYWJgZSs74SlvIbJp0GVnI8d03mJk0q-i2HM7O8IgIap-1rN6ZqU7O7JU_GU51HJd0aNd1GFgIHZ60HV-IG-iIGN-0Gk5RTIkIG-nIG-iYqxm1aV82CIgIa-9I8c7ZoFo_qY74SlvIbBmZXBm0qNnI8d03mJkYXJ60XM7O</vt:lpwstr>
  </property>
  <property fmtid="{D5CDD505-2E9C-101B-9397-08002B2CF9AE}" pid="99" name="[YXNn_W2i0WVi2A]97:99">
    <vt:lpwstr>7JwQWpj1bRd3aFo_WxiISRFJDIk4EFh0rJo_Xd62G-j07FDM8AuRDIkI7k7_WQ7O7JjRq6jZmIgIbBm0qN-ZHVmZSIuIaN-0GlnUaVaZXJ-0aN-ZE-iRaxm0XVgYSJxXSk71Gxd0bRnI8clLCJhZXNnYW2-I8c7VG6-IHBm_Wt8_XB60CBa0rJh2Wl6IGRjZXM50axoIHJ-ZaVmZWt8ZSBo_GU5Yqxm1aV82CB8ZWlg1ms7LCJdZCIuIbZU0GVT</vt:lpwstr>
  </property>
  <property fmtid="{D5CDD505-2E9C-101B-9397-08002B2CF9AE}" pid="100" name="[YXNn_W2i0WVi2A]98:100">
    <vt:lpwstr>Ibp2LCJs0WldZCIuIbNsMq6kI7k7_G-i2CIuI9Fh0rJo_Xd62G-j0blDM8AuRTIkI7k70aFhZSIuIbBm_Wt8_XB60CBQZXJd0qQ5MSIgIa-9I8c7SaNP0XM7LCJoZX6oI8c7QqFgYrVgYXR-LCBd07B8ZWlgIEUmMCk52G6-IHBm_Wt8_XB60CB60Wxp0bQ5ZaxmIHB-1a-jZCAlL7BU_GU51HJd0aNd1GFgIGFh0rVi2CBd1mBo_GU5ZG-aZaV</vt:lpwstr>
  </property>
  <property fmtid="{D5CDD505-2E9C-101B-9397-08002B2CF9AE}" pid="101" name="[YXNn_W2i0WVi2A]99:101">
    <vt:lpwstr>mZWt8ZSB7ZXRrZWViIHRcZSBkYX-hZWtoIGFh0rVi2CAcYqVg0CBDM8AdIGFiZCBo_GU5_WtoZXJ-1rQ5YWpj2WtoIC68ZWlgIEQmMC95ZaxmIHB-1a-jZCAlL7BD0qtn2HJpYrQ53Wxp17Ba0rJh2Wl6IG-iIHNpYq55YSBrYX952G662CBd2CB8YWs5YaU51aVp1qV9IHRjIGNj0XBgZXR-IHRcZSB1IbBm_Wt8_XB60Fk7IGNj0HVh07BjZ7</vt:lpwstr>
  </property>
  <property fmtid="{D5CDD505-2E9C-101B-9397-08002B2CF9AE}" pid="102" name="[YXNn_W2i0WVi2A]100:102">
    <vt:lpwstr>Bo_GU5YWpj1bRd3aFo_WxiIHR6Yal-L7JxLHg71bVgZXM7O-hvIbBj_Wto1mIuM7k70WVn1qFbZSIuI-Nj0WU50qY52G6-IHBm_Wt8_XB60CBqYWlpZXM5_Ws5Yqxg2WpiIEU5YXJ-IG-iYqxm1aV82CIgIa-9I8c7_WJY1FI74VogIb6h0G-9I8c71r5n_HA7LCJc_WtoI8c7QWpj1bRd3aFo_Wxi4EUmMTdFN817LCJiYWp-I8c7Qqxh1Gl-2</vt:lpwstr>
  </property>
  <property fmtid="{D5CDD505-2E9C-101B-9397-08002B2CF9AE}" pid="103" name="[YXNn_W2i0WVi2A]101:103">
    <vt:lpwstr>GU51HJd0aNd1GFgI7k7_WQ7O7JGVpFYWCIgIbR-3HQ7O7JD0rBtIHRcZSBk1a-iYq-kYWk5YWpj2WtoIGN60GNp0GFo_WxiIGRj2qs52Gw5Yqxh1Gl-2GU52G6-IFk71HJd0aNd1GFgXCI5Yqxg2WpiIGxaIHRcZSB60Wxm2G-uYXRd0qs52GF70GUiIbog3mJm2Wl-1mIuWrg71Gxd0bRnI8cmLCJhZXNnYW2-I8c7VG6-IHZ60HV-IGZj17Bo</vt:lpwstr>
  </property>
  <property fmtid="{D5CDD505-2E9C-101B-9397-08002B2CF9AE}" pid="104" name="[YXNn_W2i0WVi2A]102:104">
    <vt:lpwstr>_GU5YaFgYWt8ZSBd07B8ZWlgIEYmMCBd1mBd0aNj1bJ-YrQiI7k7_WQ7O7Jg0aNbY7JxLHg71HJ-1HJjYrM7O-hvIbB61aFh1mIuIblB0Wxm2G-uYXRd0qs6JEY9M8BwQWpj1bRd3aFo_WxiIUYlOSk5RTIkI7k7_WQ7O7J6VqdgUSIgIbBm0qN-ZHVmZSIuIaN-0GlnUaVaZXJ-0aN-ZE-iRaxm0XVgYSJxXSk71Gxd0bRnI8clLCJhZXNnYW2</vt:lpwstr>
  </property>
  <property fmtid="{D5CDD505-2E9C-101B-9397-08002B2CF9AE}" pid="105" name="[YXNn_W2i0WVi2A]103:105">
    <vt:lpwstr>-I8c7VG6-IGZj1app0GE52XN-ZCBo0mB8YWl82Wl62GU52G6-IGJ60GFiYqU5_Ws5YqVg0CBGM8A5ZGx-1mBi0rQ51aVaZXJ-0aN-IHRcZSB80rJmZWNoIGN-0GlnL7IgIa-9I8c7ZoND2aI74VogIb6h0G-9I8c71r5n_HA7LCJc_WtoI8c7QWpj1bRd3aFo_Wxi4EUmMDdGM8AgR8EtI7k70aFhZSIuI9J60GFiYqU5UGVm_Wx9IDE7LCJdZC</vt:lpwstr>
  </property>
  <property fmtid="{D5CDD505-2E9C-101B-9397-08002B2CF9AE}" pid="106" name="[YXNn_W2i0WVi2A]104:106">
    <vt:lpwstr>IuI9Rm2otiI7k72GVs2CIuI9N60GNp0GFoZSk5_Ws5YqVg0CBGM8AgIHRcZSB7YWl60aN-IGZj17BkZXJd0qQ5MSs5VG6-IGJ60GFiYqU5_XM52G6-IGRdZaZ-1aViYqU5YaVo2qV-07Bo_GU5YaFgYWt8ZSBa0rI51GVm_Wx9IDA5KGN-0Gk5R8EtKSB60aQ52G6-IHBm_Wt8_XB60CB60Wxp0bQ5ZaxmIHB-1a-jZCAlIC68ZWlgIEUmMC9iI</vt:lpwstr>
  </property>
  <property fmtid="{D5CDD505-2E9C-101B-9397-08002B2CF9AE}" pid="107" name="[YXNn_W2i0WVi2A]105:107">
    <vt:lpwstr>FRc_XM5Zaxm0XVgYSBd1mBmZXVnYWJgZSs5VG6-IGJ60GFiYqU5_XM5YWlrYX-nIGN60GNp0GFoZWQ5YXM52G6-IGRdZaZ-1aViYqU5YaVo2qV-07Bo_GU5YaFgYWt8ZSBa1axhIHRcZSBk1aVq_Wxp1mBkZXJd0qQ5YWt9IHRcZSBk1a-iYq-kYWk5YWpj2WtoIGZj17Bo_GU5YrVm1aVi2CBkZXJd0qQiIbog3mJm2Wl-1mIuWrg71Gxd0bRn</vt:lpwstr>
  </property>
  <property fmtid="{D5CDD505-2E9C-101B-9397-08002B2CF9AE}" pid="108" name="[YXNn_W2i0WVi2A]106:108">
    <vt:lpwstr>I8cmLCJhZXNnYW2-I8c7VG6-IGZj1app0GE5_Ws5YqVg0CBGM8A52qFnIGtj2CBmZXVnZWQ52Gw5Yqxh1Gl-2GU52G6-IHJ-1rQ50qY52G6-IGJ60GFiYqU5Yqxg2WpiL7IgIa-9I8c73aZlVaM74VogIb6h0G-9I8c71r5n_HA7LCJc_WtoI8c7QWpj1bRd3aFo_Wxi4EYmMTdGN857LCJiYWp-I8c7Qqxh1Gl-2GU5QaFgYWt8ZSIgIa-9I8c</vt:lpwstr>
  </property>
  <property fmtid="{D5CDD505-2E9C-101B-9397-08002B2CF9AE}" pid="109" name="[YXNn_W2i0WVi2A]107:109">
    <vt:lpwstr>7_o2mQUI7LCJoZX6oI8c7Qqxk3SBo_GU5YaFgYWt8ZSB60Wxp0bQ5YqFgYrVgYXRd0qs5ZGxr07Bo0mB80qpk0GVoZSBo_GU5XCJCYWl60aN-XCI5Yqxg2WpiIGxaIHRcZSB60Wxm2G-uYXRd0qs52GF70GUiIbog3mJm2Wl-1mIuWrg71Gxd0bRnI8cmLCJhZXNnYW2-I8c7VG6-IHRj2GFgIGFh0rVi2CBkYW-9IG-iIHZ-0Gk5RnEmIG-nIG</vt:lpwstr>
  </property>
  <property fmtid="{D5CDD505-2E9C-101B-9397-08002B2CF9AE}" pid="110" name="[YXNn_W2i0WVi2A]108:110">
    <vt:lpwstr>tj2CB80rJmZWNoI7k7_WQ7O7J8Ub-CRmJxLHg71HJ-1HJjYrM7O-hvIbB61aFh1mIuIblB0Wxm2G-uYXRd0qs6JE19MTJwQWpj1bRd3aFo_WxiIUMlNSk5QnEmI7k7_WQ7O7JjZHNaWCIgIbBm0qN-ZHVmZSIuIaN-0GlnUaVaZXJ-0aN-ZE-iRaxm0XVgYSJxXSk71Gxd0bRnI8clLCJhZXNnYW2-I8c7VG6-IGZj1app0GE5_Ws5YqVg0CBHM</vt:lpwstr>
  </property>
  <property fmtid="{D5CDD505-2E9C-101B-9397-08002B2CF9AE}" pid="111" name="[YXNn_W2i0WVi2A]109:111">
    <vt:lpwstr>TI5ZGx-1mBi0rQ51aVaZXJ-0aN-IHRcZSB80rJmZWNoIGN-0GlnI7k7_WQ7O7JfZHVb2mJxXSk73Gpg_WQ7O7Jn3DNc1CIgIa6d0bQ7O7JB0Wxm2G-uYXRd0qtwRnEmLEMlM7lDMTU7LCJiYWp-I8c7VGxoYWk5QWpj2WtoIFB6_WQ7LCJdZCIuIbRcSbNnI7k72GVs2CIuI9N60GNp0GFoZSk5_Ws5YqVg0CBHMTIgIHRcZSBo0rR60CB60Wxp</vt:lpwstr>
  </property>
  <property fmtid="{D5CDD505-2E9C-101B-9397-08002B2CF9AE}" pid="112" name="[YXNn_W2i0WVi2A]110:112">
    <vt:lpwstr>0bQ51GFdZCB73SBh2Wlo_XBg3W-iZmBo_GU51GFt0WVi2CB60Wxp0bQ5KGN-0Gk5QnEpKSB73SBo_GU52GVm0SBjZ7Bo_GU50Gx607AcYqVg0CBDMTIdL7JxLHg71bVgZXM7O-hvIbBj_Wto1mIuMTIgIap-1rN6ZqU7O7JU_GU52GxoYWk5_WtoZXJ-1rQ51GFdZCBd07B8ZWlgIE1lMmBd1mBi0rQ5Yqxm1aV82CIgIa-9I8c7SatLY9Y74Sl</vt:lpwstr>
  </property>
  <property fmtid="{D5CDD505-2E9C-101B-9397-08002B2CF9AE}" pid="113" name="[YXNn_W2i0WVi2A]111:113">
    <vt:lpwstr>vIbBj_Wto1mIuMTEgIap-1rN6ZqU7O7JU_GU5UpVNIGZp0aNo_WxiIH261mBi0rQ52XN-ZCBd07B8ZWlgIE1lMms7LCJdZCIuI-Zt2bV6Ibog3mJk1aVk1ax81mIuWrg71GFmYWpnI8c74EFh0rJo_Xd62G-j07E9RmQlMrlB0Wxm2G-uYXRd0qs6RDIkO9QqNmIgIa-9I8c7Rp2HVUE7LCJk1ax8ZWRp1aU7O7J8ZWlg1pJ-ZaVmZWt8ZWRJ09</vt:lpwstr>
  </property>
  <property fmtid="{D5CDD505-2E9C-101B-9397-08002B2CF9AE}" pid="114" name="[YXNn_W2i0WVi2A]112:114">
    <vt:lpwstr>Zj1app0GE74VogIbBj_Wto1mIuMTEgIap-1rN6ZqU7O7JU_GU5Zaxm0XVgYSBd07B8ZWlgIE1lM7Bd1mBi0rQ5Yqxm1aV82CIgIa-9I8c70aZD1VQ74VogIb6h0G-9I8c7181l3HQ7LCJc_WtoI8c7QWpj1bRd3aFo_Wxi4E1lMmlEM8AuRDYrI7k70aFhZSIuI-Rj2GFgIE-i2GVmZXNoIFB6_WQ7LCJdZCIuIa2H1UdsI7k72GVs2CIuI9N60</vt:lpwstr>
  </property>
  <property fmtid="{D5CDD505-2E9C-101B-9397-08002B2CF9AE}" pid="115" name="[YXNn_W2i0WVi2A]113:115">
    <vt:lpwstr>GNp0GFoZSBo_GU52GxoYWk5_WtoZXJ-1rQ51GFdZCBd07B8ZWlgIE1lMms5VG6-IHRj2GFgIG-i2GVmZXNoIHB6_WQ5_XM52G6-IHNp0SBjZ7B60Gk5_WtoZXJ-1rQ51GFdZCBd07Bo_GU5XCJJ0bR-1aVn2Fk7IGNj0HVh07BjZ7Bo_GU5YWpj1bRd3aFo_WxiIHR6Yal-L7JxLHg71bVgZXM7O-hvIbBj_Wto1mIuMT1gIap-1rN6ZqU7O7JU</vt:lpwstr>
  </property>
  <property fmtid="{D5CDD505-2E9C-101B-9397-08002B2CF9AE}" pid="116" name="[YXNn_W2i0WVi2A]114:116">
    <vt:lpwstr>_GU52aFg2WU5ZaxmIHRcZSBTVUo5Yq6-Yqg5YqFgYrVgYXRd0qs5_Ws5YqVg0CBHMTQ5_XM5_Wt80rJmZWNoI7k7_WQ7O7JUWaFC_mJxLHg71HJ-1HJjYrM7O-hvIbB61aFh1mIuIblB0Wxm2G-uYXRd0qs6JE19MTRwQWpj1bRd3aFo_WxiIU1lM7k5QnElI7k7_WQ7O7JESXJS2CIgIbBm0qN-ZHVmZSIuIaN-0GlnUaVaZXJ-0aN-ZE-iRax</vt:lpwstr>
  </property>
  <property fmtid="{D5CDD505-2E9C-101B-9397-08002B2CF9AE}" pid="117" name="[YXNn_W2i0WVi2A]115:117">
    <vt:lpwstr>m0XVgYSJxXSk71Gxd0bRnI8clNmk70WVn1qFbZSIuI-RcZSBa0rJh2Wl6IGZj17Bo_GU5UpVNIGNcZWNfIGN60GNp0GFo_WxiIG-iIGN-0Gk5RnEoIG-nIG-iYqxm1aV82CIgIa-9I8c7RaxV0-c74VogIb6h0G-9I8c71r5n_HA7LCJc_WtoI8c7QWpj1bRd3aFo_Wxi4E1lNClHMTIgQnElI7k70aFhZSIuI-Rj2GFgIE-i2GVmZXNoIENcZW</vt:lpwstr>
  </property>
  <property fmtid="{D5CDD505-2E9C-101B-9397-08002B2CF9AE}" pid="118" name="[YXNn_W2i0WVi2A]116:118">
    <vt:lpwstr>NfI7k7_WQ7O7JsY-Fr0SIgIbR-3HQ7O7JD_GV8_mBo0mBnZWU5_WY52G6-IHRj2GFgIG-i2GVmZXNoIGN60GNp0GFo_WxiIG-iIHRcZSB60Wxm2G-uYXRd0qs52GF70GU5_XM5Yqxm1aV82Cs5VG6-IHRj2GFgIG-i2GVmZXNoIHB6_WQ5_XM5YWln0mB-1XV60CBo0mBo_GU5ZG-aZaVmZWt8ZSB7ZXRrZWViIHRcZSBo0rR60CB60Wxp0bQ51</vt:lpwstr>
  </property>
  <property fmtid="{D5CDD505-2E9C-101B-9397-08002B2CF9AE}" pid="119" name="[YXNn_W2i0WVi2A]117:119">
    <vt:lpwstr>GFdZCBj2aVmIHRcZSB80rVm1qU50qY52G6-IGljYWs5YWt9IHRcZSBj1a-b_Wt60CBg0qFiIGFh0rVi2Cs5SWtnZXJoIGE5Zaxm0XVgYSBd0bRjIGN-0Gk5RnEoIHRjIGN60GNp0GFoZSBo_GU5ZG-aZaVmZWt8ZSB7ZXRrZWViIHRcZSBo0rR60CB60Wxp0bQ51GFdZCB60aQ52G6-IGxm_W2d0aFgIGljYWs5YWpj2WtoL7BO0rRdYqU52G6-</vt:lpwstr>
  </property>
  <property fmtid="{D5CDD505-2E9C-101B-9397-08002B2CF9AE}" pid="120" name="[YXNn_W2i0WVi2A]118:120">
    <vt:lpwstr>IGt-ZqFo_XZ-IHNdZqs5YXNn0qNdYXR-ZCBr_XRcIHRcZSBj1a-b_Wt60CBg0qFiIGFh0rVi2Cs5VG6d1mBqYWlpZSBn_Gxp0GQ5ZXFpYWk52G6-IHRj2GFgIG-i2GVmZXNoIGN60GNp0GFoZWQ52XNd0a152G6-IGFh0rJo_Xd62G-j07BoYWJgZSs74SlvIbJp0GVnI8d03mJk0q-i2HM7O8EgIap-1rN6ZqU7O7JZ0rU52q-g0CBi0rQ5YaU</vt:lpwstr>
  </property>
  <property fmtid="{D5CDD505-2E9C-101B-9397-08002B2CF9AE}" pid="121" name="[YXNn_W2i0WVi2A]119:121">
    <vt:lpwstr>5YWJgZSBo0mBkYX950qZaIHRcZSBg0qFiIGJtIHN-0Gld0a153Wxp17B8YXI5ZaxmICQoMDAkIG-iIHB-1a-jZCAnN7IgIa-9I8c7_p-pUUQ74VogIb6h0G-9I8c71r5n_HA7LCJc_WtoI8c7QWpj1bRd3aFo_Wxi4E1lNSIgIat60WU7O7JU1aF9ZSBd07IgIa-9I8c7_EZd3EM7LCJoZX6oI8c7QXNn2Wp-IH-j2SBcYXZ-IGp6ZGU52G6-IG</vt:lpwstr>
  </property>
  <property fmtid="{D5CDD505-2E9C-101B-9397-08002B2CF9AE}" pid="122" name="[YXNn_W2i0WVi2A]120:122">
    <vt:lpwstr>Zd1bNoIDMqIHB63Wp-0bRnIGxiIH-j2XI50Gx607s5WWxpIH260bQ52Gw52HJ6ZGU52G6-IGN617Bd07Ba0rI5YSBiZX15YqFmL7BZ0rU5YaVg_WVqZSBo_GFoIH-j2SB8YWs51qVg0CBt0rVmIGN617Ba0rI5JDQkMDAiIF2d0Gk52G6d1mB80rZ-17Bo_GU5YaFgYWt8ZSBmZWp6_Wtd0a150qs52G6-IGN617Bd07BkZXJd0qQ5MnYzIEFi1</vt:lpwstr>
  </property>
  <property fmtid="{D5CDD505-2E9C-101B-9397-08002B2CF9AE}" pid="123" name="[YXNn_W2i0WVi2A]121:123">
    <vt:lpwstr>r2-17B-_XRcZXI5XCJZZXN1I7Bj17B1I9tjXCI5_Ws5YqVg0CBHMTU5ZbJj0SBo_GU5ZHJj1Cp90r2iIGp-0bUiIbp2LCJdZCIuIaNp2-ZLI7k72GVs2CIuI--j2SBcYXZ-IGR-Yq-9ZWQ52Gw51HVmYq661qU5YSBiZX15YqFmL7BZ0rU51Gl607Bo0mBoYWh-IGxp2CB6IGljYWs52Gw51GFtIGZj17Bo_GU5YqFmL7BU_GU50Gx607B60Wxp</vt:lpwstr>
  </property>
  <property fmtid="{D5CDD505-2E9C-101B-9397-08002B2CF9AE}" pid="124" name="[YXNn_W2i0WVi2A]122:124">
    <vt:lpwstr>0bQ5_XM5JDEsLD9kMCs5WWxpIH2d0Gk51GFtIGFiIG-i2GVmZXNoIHJ62GU50qY5N7spJSB60aQ51Gl607Bo0mBkYX950qZaIHRcZSB8YXI5_Ws5ND550Wxi2G6nL7BZ0rU52qFi2CBo0mB8YWl82Wl62GU52G6-IHRj2GFgIGFh0rVi2CBjZ7Bh0qt-3SB60aQ52G6-IHRj2GFgIGFh0rVi2CBjZ7Bd0bR-1aVn2CBt0rU52q-g0CBkYX950rZ</vt:lpwstr>
  </property>
  <property fmtid="{D5CDD505-2E9C-101B-9397-08002B2CF9AE}" pid="125" name="[YXNn_W2i0WVi2A]123:125">
    <vt:lpwstr>-17Bo_GU5Yqxp1bN-IGxaIHRcZSBg0qFiL7BU0mBcZWlkIH-j2SBr_XRcIHRcZXN-IGN60GNp0GFo_Wxi1mk53WxpIGR-Yq-9ZSBo0mB80qtn2HJpYrQ5YWs5YWpj1bRd3aFo_WxiIHR6Yal-L7BB07B60Wxm2G-uYXRd0qs52GF70GU51HJj2a-9ZXM5ZGVoYW-g1mB6Yaxp2CBo_GU51GFt0WVi2Ck5_WtoZXJ-1rQ5YWpj2WtoLCBk1a-iYq</vt:lpwstr>
  </property>
  <property fmtid="{D5CDD505-2E9C-101B-9397-08002B2CF9AE}" pid="126" name="[YXNn_W2i0WVi2A]124:126">
    <vt:lpwstr>-kYWk5YWpj2WtoLCB60aQ50Gx607B7YWl60aN-IGZj17B-2aVm3SBh0qto_CBjZ7Bo_GU50Gx607s5UGVmZaxm0SBo_GU52GFn_rM5YaVg0r152Gw5Yqxh1Gl-2GU52G6-IGFh0rJo_Xd62G-j07BoYWJgZSB60aQ50Gx607Bn2WphYXJtIGN60GNp0GFo_Wxi1ms7LCJo_XRgZSIuI9Fh0rJo_Xd62G-j07JxLHg72GFn_rM7O-hvIbJp0GVnI</vt:lpwstr>
  </property>
  <property fmtid="{D5CDD505-2E9C-101B-9397-08002B2CF9AE}" pid="127" name="[YXNn_W2i0WVi2A]125:127">
    <vt:lpwstr>8d03mJk0q-i2HM7O8EiNSk70WVn1qFbZSIuI-RcZSBa0rJh2Wl6IG-iIGN-0Gk5R8EqIG-nIGtj2CB80rJmZWNoI7k7_WQ7O7J61aVIUSJxLHg71Gxd0bRnI8clL8UgIap-1rN6ZqU7O7JU_GU52aFg2WU5_Ws5YqVg0CBGMTY5_XM50axoIGNj1bJ-YrQiI7k7_WQ7O7JC0qVt2CJxLHg71HJ-1HJjYrM7O-hvIbB61aFh1mIuIbkbRaxp17BK</vt:lpwstr>
  </property>
  <property fmtid="{D5CDD505-2E9C-101B-9397-08002B2CF9AE}" pid="128" name="[YXNn_W2i0WVi2A]126:128">
    <vt:lpwstr>1mBQYW-i2G-iZm16JEY9MTZwJoZj2XI5SbM5UGFd0bRd0a1bIUQlN7k5RTElO95lM7IgIa-9I8c7_FFj1Gk7LCJk1ax8ZWRp1aU7O7J8ZWlg1pJ-ZaVmZWt8ZWRJ09Zj1app0GE74VogIbBj_Wto1mIuMSk70WVn1qFbZSIuI-RcZSBa0rJh2Wl6IG-iIGN-0Gk5R8EqIGRjZXM50axoIHJ-ZaVmZWt8ZSBo_GU5Yqxm1aV82CB8ZWlg1ms7LCJ</vt:lpwstr>
  </property>
  <property fmtid="{D5CDD505-2E9C-101B-9397-08002B2CF9AE}" pid="129" name="[YXNn_W2i0WVi2A]127:129">
    <vt:lpwstr>dZCIuIbRMVUJ-Ibog3mJk0q-i2HM7O8EgIap-1rN6ZqU7O7JU_GU5Zaxm0XVgYSBd07B8ZWlgIEYlN7BrYXM50axoIHJ-2XN-ZCBo0mB80qpk0GVoZSB80qlp0Ws5R7s7LCJdZCIuIb2YWbJjIbp2LCJs0WldZCIuIb69OHYmI7k7_G-i2CIuI9Zj2XI5SbM5UGFd0bRd0a2wRDEqO9QnNSlFMTEuSDEmLEYlN8dGMnU7LCJiYWp-I8c7SGxp1a</vt:lpwstr>
  </property>
  <property fmtid="{D5CDD505-2E9C-101B-9397-08002B2CF9AE}" pid="130" name="[YXNn_W2i0WVi2A]128:130">
    <vt:lpwstr>ltIF26ZqU7LCJdZCIuIb-VS-ZsI7k72GVs2CIuI-VnZSBo_GU5SElPTohVUCBa2Wt82G-j07Bo0mB80qpk0GVoZSBo_GU5XCJI0rVm0H95VqFbZVk7IGNj0HVh07BjZ7BoYWJgZSAlL7BV1qU52G6-IFk7RWpk0GxtZWV1I7B80qlp0Ws50qY52GF70GU5MSB61mBo_GU50Gxj_rVkXrZ60HV-IGFiZCBo_GU5XCJF0XBg0r--ZSBXYW2-IE-iZ</vt:lpwstr>
  </property>
  <property fmtid="{D5CDD505-2E9C-101B-9397-08002B2CF9AE}" pid="131" name="[YXNn_W2i0WVi2A]129:131">
    <vt:lpwstr>axm0WFo_WxiXCI5YWJj2aU52GF70GU5MSB61mBt0rVmIHJ-ZaVmZWt8ZSBoYWJgZSs74SlvIbJp0GVnI8d03mJk0q-i2HM7O8IgIap-1rN6ZqU7O7JU_GU5Zaxm0XVgYSBd07B8ZWlgIE9lN7Bd1mBi0rQ5Yqxm1aV82CIgIa-9I8c71altRqw74SlvIbBj_Wto1mIuMmk70WVn1qFbZSIuI-RcZSBqYWlpZSBd07BJMTY5_XM5_Wt80rJmZWNo</vt:lpwstr>
  </property>
  <property fmtid="{D5CDD505-2E9C-101B-9397-08002B2CF9AE}" pid="132" name="[YXNn_W2i0WVi2A]130:132">
    <vt:lpwstr>IH2cZWs5_Gxp1bM52qxm_qV9IDk5ZXNo_Wp62GV9IG6j2XJnIGFiZCBl2WFg_XRtIDslI7k7_WQ7O7JF2WNPTmJxLHg71Gxd0bRnI8cnLCJhZXNnYW2-I8c7VG6-IGZj1app0GE5_Ws5STEqIG-nIGtj2CB80rJmZWNoIH2cZWs5_Gxp1bM52qxm_qV9IDs5ZXNo_Wp62GV9IG6j2XJnIGFiZCBl2WFg_XRtIDo5MSs7LCJdZCIuI9pOZ-ZpIbo</vt:lpwstr>
  </property>
  <property fmtid="{D5CDD505-2E9C-101B-9397-08002B2CF9AE}" pid="133" name="[YXNn_W2i0WVi2A]131:133">
    <vt:lpwstr>g3mJk0q-i2HM7O8MgIap-1rN6ZqU7O7JU_GU52aFg2WU5_Ws5STEqIG-nIGtj2CB80rJmZWNoIH2cZWs5_Gxp1bM52qxm_qV9IDk5ZXNo_Wp62GV9IG6j2XJnLCB72XQ51XV60G-o3SAxIDE7LCJdZCIuI--OSr2bIbog3mJk0q-i2HM7O8IgIap-1rN6ZqU7O7JU_GU52aFg2WU5_Ws5YqVg0CBJMTY5_XM50axoIGNj1bJ-YrQ52q6-07Bo_W</vt:lpwstr>
  </property>
  <property fmtid="{D5CDD505-2E9C-101B-9397-08002B2CF9AE}" pid="134" name="[YXNn_W2i0WVi2A]132:134">
    <vt:lpwstr>p-IGVsYqV-ZHM52G-hZSB-3HB-YrQ5YWt9IHFpYWld2H95P7AlI7k7_WQ7O7JDY-BqTmJxLHg71Gxd0bRnI8clLCJhZXNnYW2-I8c7VG6-IGZj1app0GE5_Ws5STEqIH261mBi0rQ51aVp1qV9IHRjIGNj0XBgZXR-IHRcZSB80qlp0Ws5SSBjZ7BoYWJgZSAlL7IgIa-9I8c70r2P1W174VogIb6h0G-9I8c71qIl1qI7LCJc_WtoI8c7Raxp1</vt:lpwstr>
  </property>
  <property fmtid="{D5CDD505-2E9C-101B-9397-08002B2CF9AE}" pid="135" name="[YXNn_W2i0WVi2A]133:135">
    <vt:lpwstr>7BK1mBQYW-i2G-iZrlFMTYuRTMpLEMlN8dDMnUgSDEqO95nNSlJMTYuSTMpI7k70aFhZSIuI-Rd0WU5Qaxi2XMzI7k7_WQ7O7Jh1pJo3SIgIbR-3HQ7O7JV1qU52G6-IEFORCBa2Wt82G-j07Bo0mB80qpk0GVoZSBo_GU5XCJU_Wp-IEJj0bVnPpk7IGNj0HVh07BjZ7BoYWJgZSAlL7BB07B-0XBg0r--ZSB-YXJi1mB6IHRd0WU5Yaxi2XM5</vt:lpwstr>
  </property>
  <property fmtid="{D5CDD505-2E9C-101B-9397-08002B2CF9AE}" pid="136" name="[YXNn_W2i0WVi2A]134:136">
    <vt:lpwstr>_WY52G6-IHBm0qd-YrR12TIkMT-nIFk7SGxp1bM5Vqxm_qV9XCI5YXJ-IGZ-2qVmIHRcYWs52G6-IFk7RXNo_Wp62GV9IE6j2XJnXCI5YWt9IG-aIHRcZSBr0rJfIFk7UXV60G-o3Vk7IG-nIG2mZWFoZXI52G6607AlL7JxLHg71bVgZXM7O-hvIbBj_Wto1mIuM7k70WVn1qFbZSIuI-RcZSBa0rJh2Wl6IG-iIGN-0Gk5S8EqIG-nIGtj2CB</vt:lpwstr>
  </property>
  <property fmtid="{D5CDD505-2E9C-101B-9397-08002B2CF9AE}" pid="137" name="[YXNn_W2i0WVi2A]135:137">
    <vt:lpwstr>80rJmZWNoI7k7_WQ7O7J9VExF0CJxLHg71Gxd0bRnI8cnLCJhZXNnYW2-I8c7VG6-IHZ60HV-IG-iIEclN7Bd1mB80rJmZWNoIH2cZWs5ZG-aZa-82Wlo3SAyIDM5YWt9IHFpYWld2H95PSAnL7IgIa-9I8c7_9VbZXE74SlvIbBj_Wto1mIuMmk70WVn1qFbZSIuI-RcZSBqYWlpZSBd07BKMTY5_XM5Yqxm1aV82CBr_GViIGRdZaZdYrVg2H</vt:lpwstr>
  </property>
  <property fmtid="{D5CDD505-2E9C-101B-9397-08002B2CF9AE}" pid="138" name="[YXNn_W2i0WVi2A]136:138">
    <vt:lpwstr>95PDonIGFiZCBl2WFg_XRtIDkmI7k7_WQ7O7Ja2HJKWCJxLHg71Gxd0bRnI8cmL8UgIap-1rN6ZqU7O7JU_GU52aFg2WU5_Ws5S8EqIG-nIGNj1bJ-YrQ52q6-07B9_WZa_WNp0HRtIDkxMmB60aQ51XV60G-o3SAxIDM7LCJdZCIuIaNVWFBcIbog3mJk0q-i2HM7O8IiNSk70WVn1qFbZSIuI-RcZSBqYWlpZSBd07B8ZWlgIEcnNSBd1mBi0</vt:lpwstr>
  </property>
  <property fmtid="{D5CDD505-2E9C-101B-9397-08002B2CF9AE}" pid="139" name="[YXNn_W2i0WVi2A]137:139">
    <vt:lpwstr>rQ5Yqxm1aV82CIgIa-9I8c7ZGVW2-Y74SlvIbBj_Wto1mIuMSk70WVn1qFbZSIuI-RcZSBa0rJh2Wl6IG-iIEclN7BrYXM50axoIHJ-2XN-ZCBo0mB80qpk0GVoZSB80qlp0Ws5S7BjZ7BoYWJgZSAlI7k7_WQ7O7JJUEZe2SJxXSk73Gpg_WQ7O7JnY8FnY7IgIa6d0bQ7O7JG0rVmIEdnIFB6_Wto_Wtb4E1lN8dHMnUgSDEqO95nNSlKMTYu</vt:lpwstr>
  </property>
  <property fmtid="{D5CDD505-2E9C-101B-9397-08002B2CF9AE}" pid="140" name="[YXNn_W2i0WVi2A]138:140">
    <vt:lpwstr>S8MpI7k70aFhZSIuI9xp2GNj0WU5Qaxi2XMzI7k7_WQ7O7JH2WdH3SIgIbR-3HQ7O7JV1qU52G6-IExSIGZp0aNo_WxiIHRjIGNj0XBgZXR-IHRcZSB1I9xp2GNj0WU5Qaxi2XMzXCI5Yqxg2WpiIGxaIHR6Yal-IDEiIEFiIGVh1Glj3WV-IGV61atnIGFiIGxp2GNj0WU5Yaxi2XM5_WY52G6-IGRdZaZdYrVg2H950qY5YSBe0qI5_XM5ZrJ</vt:lpwstr>
  </property>
  <property fmtid="{D5CDD505-2E9C-101B-9397-08002B2CF9AE}" pid="141" name="[YXNn_W2i0WVi2A]139:141">
    <vt:lpwstr>-YXR-17Bo_GFiIDM50rI5_WY52G6-IHFpYWld2H950qY52G6-_XI52qxm_mBd1mB-1XV60CBo0mAnL7JxLHg71bVgZXM7O-hvIbBj_Wto1mIuM7k70WVn1qFbZSIuI-RcZSBa0rJh2Wl6IG-iIGN-0Gk5TDEqIG-nIGtj2CB80rJmZWNoI7k7_WQ7O7J9W-2aY7JxLHg71Gxd0bRnI8cmLCJhZXNnYW2-I8c7VG6-IHZ60HV-IG-iIGN-0Gk5TD</vt:lpwstr>
  </property>
  <property fmtid="{D5CDD505-2E9C-101B-9397-08002B2CF9AE}" pid="142" name="[YXNn_W2i0WVi2A]140:142">
    <vt:lpwstr>EqIG-nIGtj2CB80rJmZWNoIH2cZWs5STEqIG-nIFRSVUU7LCJdZCIuIaNgZF6MIbog3mJk0q-i2HM7O8IgIap-1rN6ZqU7O7JU_GU52aFg2WU5_Ws5YqVg0CBMMTY5_XM50axoIGNj1bJ-YrQ52q6-07BJMTY5_XM5R9FMUoU7LCJdZCIuI-dJU--YIbog3mJk1aVk1ax81mIuWrg71GFmYWpnI8c74C2G0rVmIEdnIFB6_Wto_WtbJmE9TCQlN</vt:lpwstr>
  </property>
  <property fmtid="{D5CDD505-2E9C-101B-9397-08002B2CF9AE}" pid="143" name="[YXNn_W2i0WVi2A]141:143">
    <vt:lpwstr>bkbRaxp17BK1mBQYW-i2G-iZm16STEqLCBLMTYgIEolMSIgIa-9I8c7WWFb1bY7LCJk1ax8ZWRp1aU7O7J8ZWlg1pJ-ZaVmZWt8ZWRJ09Zj1app0GE74VogIbBj_Wto1mIuMSk70WVn1qFbZSIuI-RcZSBa0rJh2Wl6IG-iIGN-0Gk5TDEqIGRjZXM50axoIHJ-ZaVmZWt8ZSBo_GU5Yqxm1aV82CB8ZWlg1mIgIa-9I8c7UWFmRWw74SlvIbBj</vt:lpwstr>
  </property>
  <property fmtid="{D5CDD505-2E9C-101B-9397-08002B2CF9AE}" pid="144" name="[YXNn_W2i0WVi2A]142:144">
    <vt:lpwstr>_Wto1mIuMSk70WVn1qFbZSIuI-RcZSBa0rJh2Wl6IG-iIGN-0Gk5TDEqIH261mBi0rQ51aVp1qV9IHRjIGNj0XBgZXR-IGNj0HVh07BMIGxaIHR6Yal-IDE7LCJdZCIuI-6oRV2RIbp2LCJs0WldZCIuIaldMWtfI7k7_G-i2CIuI9Zj2XI5SbM5UGFd0bRd0a2wTDEqO9knNSlLMTYuSnMpLE9lN8dJMnUgTTElI7k70aFhZSIuI-Rd0WU5Qax</vt:lpwstr>
  </property>
  <property fmtid="{D5CDD505-2E9C-101B-9397-08002B2CF9AE}" pid="145" name="[YXNn_W2i0WVi2A]143:145">
    <vt:lpwstr>i2XM9I7k7_WQ7O7JhWHRr1SIgIbR-3HQ7O7JV1qU52G6-IE-GIGZp0aNo_WxiIHRjIGNj0XBgZXR-IHRcZSB1I-Rd0WU5Qaxi2XM5JFk7IGNj0HVh07BjZ7BoYWJgZSAlL7BJZ7B607B-0XBg0r--ZSB-YXJi1mB6IHRd0WU5Yaxi2XM5KG9iZSsgIHRcZSB80rJmZXNk0qt9_WtbIGN-0Gk5_Ws52G6-IFk7VG-hZSBC0qtp1nx1I7B80qlp0W</vt:lpwstr>
  </property>
  <property fmtid="{D5CDD505-2E9C-101B-9397-08002B2CF9AE}" pid="146" name="[YXNn_W2i0WVi2A]144:146">
    <vt:lpwstr>s5_XM5VFJVRS9gIHRcZWs5XCJU_Wp-IEJj0bVnICR1I7Bd1mBo_GU5XCJK0qI5UGFtXCI5ZaxmIHRcYXQ51HJj_aV82CBo_Wp-1mBo_GU5Yaxi2XM51GVmYqVi2GFbZSBd07B8ZWlgIEolMSs5TrRcZXJr_XN-IFk7VG-hZSBC0qtp1mA9XCI5_XM5MCs74SlvIbJp0GVnI8d03mJk0q-i2HM7O8IgIap-1rN6ZqU7O7JU_GU5Zaxm0XVgYSBd0</vt:lpwstr>
  </property>
  <property fmtid="{D5CDD505-2E9C-101B-9397-08002B2CF9AE}" pid="147" name="[YXNn_W2i0WVi2A]145:147">
    <vt:lpwstr>7B8ZWlgIEolN7Bd1mBi0rQ5Yqxm1aV82CIgIa-9I8c7RUhIVVc74SlvIbBj_Wto1mIuM7k70WVn1qFbZSIuI-RcZSBqYWlpZSBd07B8ZWlgIEolN7Bd1mBi0rQ5Yqxm1aV82CBr_GViIEclN7Bd1mBUU-VFI7k7_WQ7O7Jj3F6DYmJxLHg71Gxd0bRnI8cmLCJhZXNnYW2-I8c7VG6-IHZ60HV-IG-iIGN-0Gk5TTEqIG-nIGtj2CB80rJmZWNo</vt:lpwstr>
  </property>
  <property fmtid="{D5CDD505-2E9C-101B-9397-08002B2CF9AE}" pid="148" name="[YXNn_W2i0WVi2A]146:148">
    <vt:lpwstr>IH2cZWs5S8EqIG-nIEZBTFNFI7k7_WQ7O7JsSpdZRCJxLHg71HJ-1HJjYrM7O-hvIbB61aFh1mIuIbkbRaxp17BK1mBQYW-i2G-iZm16JEo9MTZwJoZj2XI5SbM5UGFd0bRd0a1bIUclN8dLMTYgIEolM7IgIa-9I8c7RW-fSF97LCJk1ax8ZWRp1aU7O7J8ZWlg1pJ-ZaVmZWt8ZWRJ09Zj1app0GE74VogIbBj_Wto1mIuMSk70WVn1qFbZSI</vt:lpwstr>
  </property>
  <property fmtid="{D5CDD505-2E9C-101B-9397-08002B2CF9AE}" pid="149" name="[YXNn_W2i0WVi2A]147:149">
    <vt:lpwstr>uI-RcZSBa0rJh2Wl6IG-iIGN-0Gk5TTEqIGRjZXM50axoIHJ-ZaVmZWt8ZSBo_GU5Yqxm1aV82CB8ZWlg1mIgIa-9I8c7RE-IQqo74SlvIbBj_Wto1mIuMSk70WVn1qFbZSIuI-RcZSBa0rJh2Wl6IG-iIGN-0Gk5TTEqIH261mBmZXVnZWQ52Gw5Yqxh1Gl-2GU5Yqxg2WpiIEo50qY52GF70GU5MSIgIa-9I8c7RpVN1r574VogIb6h0G-9I8</vt:lpwstr>
  </property>
  <property fmtid="{D5CDD505-2E9C-101B-9397-08002B2CF9AE}" pid="150" name="[YXNn_W2i0WVi2A]148:150">
    <vt:lpwstr>c70G9l0ag7LCJc_WtoI8c7Raxp17BK1mBQYW-i2G-iZrlNMTIgS8EqO9cnNSlLMTYuSnMpLEolN8dNMnU7LCJiYWp-I8c7TrVoYqxhZSBC0qtp1mQ7LCJdZCIuI9Jl2EN_I7k72GVs2CIuI-VnZSBo_GU5SUY5ZbViYrRd0qs52Gw5Yqxh1Gl-2GU52G6-IFk7TrVoYqxhZSBC0qtp1mA9XCI5Yqxg2WpiIGxaIHR6Yal-IDEiIE-aIGFiIGVh1</vt:lpwstr>
  </property>
  <property fmtid="{D5CDD505-2E9C-101B-9397-08002B2CF9AE}" pid="151" name="[YXNn_W2i0WVi2A]149:151">
    <vt:lpwstr>Glj3WV-IGV61atnIGFiIGxp2GNj0WU5Yaxi2XM5KG9iZSsgIHRcZSB80rJmZXNk0qt9_WtbIGN-0Gk5_Ws52G6-IFk7TrVoYqxhZSBC0qtp1nx1I7B80qlp0Ws5_XM5VFJVRS9gIHRcZWs5XCJP2XR80qp-IEJj0bVnICR1I7Bd1mBo_GU5XCJK0qI5UGFtXCI5ZaxmIHRcYXQ51HJj_aV82CBo_Wp-1mBo_GU50rVoYqxhZSB70qtp1mBkZXJ8</vt:lpwstr>
  </property>
  <property fmtid="{D5CDD505-2E9C-101B-9397-08002B2CF9AE}" pid="152" name="[YXNn_W2i0WVi2A]150:152">
    <vt:lpwstr>ZWtoYW2-IG-iIGN-0Gk5TTEmOmBj2G6-1b2d1qUgIFk7TrVoYqxhZSBC0qtp1mA9XCI5_XM5MCs74SlvIbJp0GVnI8d03mJk0q-i2HM7O8EgIap-1rN6ZqU7O7JDZWlgIEwlN7B90qVnIGtj2CBp1qU52G6-IE-GIGZp0aNo_WxiI7k7_WQ7O7JC_WlJ2mJxLHg71Gxd0bRnI8cmLCJhZXNnYW2-I8c7VG6-IGZj1app0GE5_Ws5YqVg0CBPMTY</vt:lpwstr>
  </property>
  <property fmtid="{D5CDD505-2E9C-101B-9397-08002B2CF9AE}" pid="153" name="[YXNn_W2i0WVi2A]151:153">
    <vt:lpwstr>5_XM50axoIGNj1bJ-YrQ52q6-07Bc0rVm1mBr0rJfZWQ5PCB-3HB-YrR-ZCB60aQ51XV60G-o3SAyIDE7LCJdZCIuIaJOWG2CIbog3mJk0q-i2HM7O8IgIap-1rN6ZqU7O7JU_GU5Zaxm0XVgYSBd07B8ZWlgIEwlN7Bd1mBi0rQ5Yqxm1aV82CBr_GViIG6j2XJnIH2j1ah-ZCAyIGVs1GV82GV9IGFiZCBl2WFg_XRtIDs5MSIgIa-9I8c7_W</vt:lpwstr>
  </property>
  <property fmtid="{D5CDD505-2E9C-101B-9397-08002B2CF9AE}" pid="154" name="[YXNn_W2i0WVi2A]152:154">
    <vt:lpwstr>Z70W174SlvIbBj_Wto1mIuM7k70WVn1qFbZSIuI-RcZSBqYWlpZSBd07B8ZWlgIEwlN7Bd1mBi0rQ5Yqxm1aV82CBr_GViIG6j2XJnIH2j1ah-ZCAyIGVs1GV82GV9IGFiZCBl2WFg_XRtIDo5MSIgIa-9I8c72WZGTpQ74SlvIbBj_Wto1mIuM7k70WVn1qFbZSIuI-RcZSBqYWlpZSBd07BPMTY5_XM50axoIGNj1bJ-YrQ52q6-07Bc0rVm1</vt:lpwstr>
  </property>
  <property fmtid="{D5CDD505-2E9C-101B-9397-08002B2CF9AE}" pid="155" name="[YXNn_W2i0WVi2A]153:155">
    <vt:lpwstr>mBr0rJfZWQ5PCB-3HB-YrR-ZCB60aQ51XV60G-o3SAxIDE7LCJdZCIuI--oSoxCIbog3mJk0q-i2HM7O8EgIap-1rN6ZqU7O7JU_GU5Zaxm0XVgYSBd07B8ZWlgIEwlN7BrYXM50axoIHJ-2XN-ZCBo0mB80qpk0GVoZSB80qlp0Ws5TmBjZ7BoYWJgZSAlI7k7_WQ7O7JK_WFpRSJxXSk73Gpg_WQ7O7Jg_TFi_mIgIa6d0bQ7O7JG0rVmIEdn</vt:lpwstr>
  </property>
  <property fmtid="{D5CDD505-2E9C-101B-9397-08002B2CF9AE}" pid="156" name="[YXNn_W2i0WVi2A]154:156">
    <vt:lpwstr>IFB6_Wto_Wtb4EUlN8dFMnUgQnEqO9MnNSlIMTYuSDMpLEwlN8dPMnU7LCJiYWp-I8c7Qqxh0WVi2HM7LCJdZCIuIbZkRXVII7k72GVs2CIuI-VnZSBo_GU5SUY5ZbViYrRd0qs52Gw5Yqxh1Gl-2GU52G6-IFk7Qqxh0WVi2HN1I7B80qlp0Ws50qY52GF70GU5MSs5RG-n1Gl63SB1I92j0qQ5Sax7XCI5_WY5Yaxo_CBo_GU5XCJI0rVm1mB</vt:lpwstr>
  </property>
  <property fmtid="{D5CDD505-2E9C-101B-9397-08002B2CF9AE}" pid="157" name="[YXNn_W2i0WVi2A]155:157">
    <vt:lpwstr>X0rJfZWR1I7B61aU50GVn1mBo_GFiIGxmIGVl2WFgIHRjIHRcZSB1I9Vn2G-hYXR-ZCBI0rVm1pk7IGZj17B6IHBm0qd-YrQ5YWt9IHRcZSB61rN-1rN-ZCB1I-FpYWld2H-1I7BjZ7Bo_GFoIHBm0qd-YrQ5_XM5ZrJ-YXR-17Bo_GFiIDEiIERd1rBgYX95XCJU0qw5TXV8_CBU_Wp-XCI5_WY52G6-IFk7SGxp1bM5Vqxm_qV9XCI50qs5YS</vt:lpwstr>
  </property>
  <property fmtid="{D5CDD505-2E9C-101B-9397-08002B2CF9AE}" pid="158" name="[YXNn_W2i0WVi2A]156:158">
    <vt:lpwstr>Bk1axeZWNoIGVsYqV-ZCBo_GU5XCJF1rRd0WFoZWQ5SGxp1bN1I7Ba0rI52G662CBk1axeZWNoOmBj2G6-1b2d1qUgIGRd1rBgYX95XCJQ0qxmIFFpYWld2H9iXCI74SlvIbJp0GVnI8d03mJk0q-i2HM7O8EiNSk70WVn1qFbZSIuI-RcZSBa0rJh2Wl6IG-iIGN-0Gk5QnQkIG-nIG-iYqxm1aV82CIgIa-9I8c73EZ6SUc74SlvIbBmZXBm0</vt:lpwstr>
  </property>
  <property fmtid="{D5CDD505-2E9C-101B-9397-08002B2CF9AE}" pid="159" name="[YXNn_W2i0WVi2A]157:159">
    <vt:lpwstr>qNnI8d03mJkYXJ60XM7O7JwJoZj2XI5SbM5UGFd0bRd0a1bISRDJDQk4C2G0rVmIEdnIFB6_Wto_WtbJmFCNDAgIEIlN8dEMnU7LCJdZCIuIb-DSapSI7k71HJjYqV92XJ-I8c7YqVg0HNSZWZ-1aViYqV9SWtG0rJh2Wl6Ibp2LCJk0q-i2HM7O8EgIap-1rN6ZqU7O7JU_GU5Zaxm0XVgYSBd07B8ZWlgIEMoMCB90qVnIGtj2CBmZWZ-1aVi</vt:lpwstr>
  </property>
  <property fmtid="{D5CDD505-2E9C-101B-9397-08002B2CF9AE}" pid="160" name="[YXNn_W2i0WVi2A]158:160">
    <vt:lpwstr>YqU52G6-IGNj1bJ-YrQ5YqVg0HM7LCJdZCIuI9Vk1q-PIbog3mJk0q-i2HM7O8EiNSk70WVn1qFbZSIuI-RcZSBqYWlpZSBd07B8ZWlgIEMoMCBd1mBd0aNj1bJ-YrQ7LCJdZCIuI92LTopLIbog3mJk0q-i2HM7O8EgIap-1rN6ZqU7O7JU_GU5Zaxm0XVgYSBd07B8ZWlgIEMoMCBd1mBi0rQ51aVp1qV9IHRjIGNj0XBgZXR-IGNj0HVh07B</vt:lpwstr>
  </property>
  <property fmtid="{D5CDD505-2E9C-101B-9397-08002B2CF9AE}" pid="161" name="[YXNn_W2i0WVi2A]159:161">
    <vt:lpwstr>DIGxaIHR6Yal-IDIiI7k7_WQ7O7Jj1WVMZ7JxXSk73Gpg_WQ7O7JsZD6qM7IgIa6d0bQ7O7JG0rVmIEdnIFB6_Wto_Wtb4EIlN8dEMnUgQ8QkO9MoN7IgIat60WU7O7JF0XBg0r--ZSIgIa-9I8c7Wa6pTFY7LCJoZX6oI8c7VXN-IHRcZSBWTExPSpVQIGZp0aNo_WxiIHRjIGNj0XBgZXR-IHRcZSB1I9Vh1Glj3WV-XCI5Yqxg2WpiIGxaIH</vt:lpwstr>
  </property>
  <property fmtid="{D5CDD505-2E9C-101B-9397-08002B2CF9AE}" pid="162" name="[YXNn_W2i0WVi2A]160:162">
    <vt:lpwstr>R6Yal-IDIiIFVnZSB1I9djY7BJRFk7IGZm0qo52GF70GU5M7B61mBt0rVmIGlj0qhp1FxqYWlpZS6nKSB60aQ52GF70GU5MSB61mBo_GU51aVaZXJ-0aN-IHR6Yal-L7JxLHg71bVgZXM7O-hvIbBj_Wto1mIuMSspLCJhZXNnYW2-I8c7VG6-IGZj1app0GE5_Ws5YqVg0CBENDA5_XM5_Wt80rJmZWNoI7k7_WQ7O7JmRWhD1SJxLHg71HJ-1</vt:lpwstr>
  </property>
  <property fmtid="{D5CDD505-2E9C-101B-9397-08002B2CF9AE}" pid="163" name="[YXNn_W2i0WVi2A]161:163">
    <vt:lpwstr>HJjYrM7O-hvIbB61aFh1mIuIbkbRaxp17BK1mBQYW-i2G-iZm16JEQ9NDBwJoZj2XI5SbM5UGFd0bRd0a1bIUIoMCk5Q8EqO91nNSIgIa-9I8c70FJLUXA7LCJk1ax8ZWRp1aU7O7J8ZWlg1pJ-ZaVmZWt8ZWRJ09Zj1app0GE74VogIbBj_Wto1mIuMSk70WVn1qFbZSIuI-RcZSBa0rJh2Wl6IG-iIGN-0Gk5RDQkIHJ-ZaVmZWt8ZXM52G6-</vt:lpwstr>
  </property>
  <property fmtid="{D5CDD505-2E9C-101B-9397-08002B2CF9AE}" pid="164" name="[YXNn_W2i0WVi2A]162:164">
    <vt:lpwstr>IGNj1bJ-YrQ5YqVg0HM7LCJdZCIuI9xeZalQIbog3mJk0q-i2HM7O8EiNSk70WVn1qFbZSIuI-RcZSBqYWlpZSBd07B8ZWlgIEQoMCBd1mBd0aNj1bJ-YrQ7LCJdZCIuIaZg1U6aIbog3mJk0q-i2HM7O8EgIap-1rN6ZqU7O7JU_GU5Zaxm0XVgYSBd07B8ZWlgIEQoMCBrYXM50axoIHJ-2XN-ZCBo0mB80qpk0GVoZSB80qlp0Ws5RCBjZ7B</vt:lpwstr>
  </property>
  <property fmtid="{D5CDD505-2E9C-101B-9397-08002B2CF9AE}" pid="165" name="[YXNn_W2i0WVi2A]163:165">
    <vt:lpwstr>oYWJgZSAmI7k7_WQ7O7JG2X-l17JxXSk73Gpg_WQ7O7JsZD6qM7IgIa6d0bQ7O7JG0rVmIEdnIFB6_Wto_Wtb4EIoMDdCNDYgRDQkO9QoN7lCMTYuRnMpI7k70aFhZSIuI9RdZaZdYrVg2H97LCJdZCIuI9dJRW6DI7k72GVs2CIuI-VnZSBo_GU5V9lPTohVUCBa2Wt82G-j07Bo0mB80qpk0GVoZSBo_GU5XCJE_WZa_WNp0HRtXCI5Yqxg2W</vt:lpwstr>
  </property>
  <property fmtid="{D5CDD505-2E9C-101B-9397-08002B2CF9AE}" pid="166" name="[YXNn_W2i0WVi2A]164:166">
    <vt:lpwstr>piIGxaIHR6Yal-IDIiIEFbYW-iLCBp1qU5XCJK0qI5SUR1I7Ba1axhIHR6Yal-IDI5YXM52G6-IGlj0qhp1FxqYWlpZS6nKSB60aQ52GF70GU5MSB61mBo_GU51aVaZXJ-0aN-IHR6Yal-L7JxLHg71bVgZXM7O-hvIbBj_Wto1mIuMSk70WVn1qFbZSIuI-RcZSBa0rJh2Wl6IG-iIGN-0Gk5SDMtIG-nIG-iYqxm1aV82CIgIa-9I8c7VFZHW</vt:lpwstr>
  </property>
  <property fmtid="{D5CDD505-2E9C-101B-9397-08002B2CF9AE}" pid="167" name="[YXNn_W2i0WVi2A]165:167">
    <vt:lpwstr>FA74SlvIbBmZXBm0qNnI8d03mJkYXJ60XM7O7JwJoZj2XI5SbM5UGFd0bRd0a1bISRIJDMt4C2G0rVmIEdnIFB6_Wto_WtbJmFEMTYuRDMpLCBHMn97LCJdZCIuIaJcQoNHI7k71HJjYqV92XJ-I8c7YqVg0HNSZWZ-1aViYqV9SWtG0rJh2Wl6Ibp2LCJk0q-i2HM7O8AiNSk70WVn1qFbZSIuI-RcZSBa0rJh2Wl6IG-iIGN-0Gk5SDQlIG-n</vt:lpwstr>
  </property>
  <property fmtid="{D5CDD505-2E9C-101B-9397-08002B2CF9AE}" pid="168" name="[YXNn_W2i0WVi2A]166:168">
    <vt:lpwstr>IG-iYqxm1aV82CIgIa-9I8c7VVBt2aE74SlvIbBj_Wto1mIuMSk70WVn1qFbZSIuI-RcZSBqYWlpZSBd07B8ZWlgIE5nOSBd1mBd0aNj1bJ-YrQ7LCJdZCIuIaVcQ9NbIbog3mJk0q-i2HM7O8AiNSk70WVn1qFbZSIuI-RcZSBa0rJh2Wl6IG-iIGN-0Gk5SDMtIH261mBi0rQ51aVp1qV9IHRjIGNj0XBgZXR-IGNj0HVh07BIIGxaIHR6Yal</vt:lpwstr>
  </property>
  <property fmtid="{D5CDD505-2E9C-101B-9397-08002B2CF9AE}" pid="169" name="[YXNn_W2i0WVi2A]167:169">
    <vt:lpwstr>-IDM7LCJdZCIuI9FmUr2PIbp2LCJs0WldZCIuIaJiNW1rI7k7_G-i2CIuI9Zj2XI5SbM5UGFd0bRd0a2wRDEqO9QnNSlHMn9uRnQmLE5nOTdINDI7LCJiYWp-I8c7ImBjZ7BK0qJnI7k7_WQ7O7JB2pJOSSIgIbR-3HQ7O7JV1qU52G6-IENPVUtUSUY5ZbViYrRd0qs52Gw5Yqxh1Gl-2GU52G6-IFk7ImBjZ7BK0qJnXCI5Yqxg2WpiIG-iIH</vt:lpwstr>
  </property>
  <property fmtid="{D5CDD505-2E9C-101B-9397-08002B2CF9AE}" pid="170" name="[YXNn_W2i0WVi2A]168:170">
    <vt:lpwstr>R6Yal-IDMiIFJ-ZaVmZWt8ZSBo_GU5YXBk1axk1a-62GU5Za--0GQ5_Ws52GF70GU5MSB61mBt0rVmIHJ60a2-IGFiZCBo_GU5XCJF0XBg0r--ZVk7IGt60WVnIG-iIHR6Yal-IDM5YXM53Wxp17B81a-oZXJdYSs74SlvIbJp0GVnI8d03mJk0q-i2HM7O8EgIap-1rN6ZqU7O7JU_GU5Zaxm0XVgYSBd07B8ZWlgIE9nOSBd1mBd0aNj1bJ-Y</vt:lpwstr>
  </property>
  <property fmtid="{D5CDD505-2E9C-101B-9397-08002B2CF9AE}" pid="171" name="[YXNn_W2i0WVi2A]169:171">
    <vt:lpwstr>rQ7LCJdZCIuI9pERFFeIbog3mJk1aVk1ax81mIuWrg71GFmYWpnI8c74C2G0rVmIEdnIFB6_Wto_WtbJmE9SSQnOXkbRaxp17BK1mBQYW-i2G-iZm16RnMtLCBEMTYuRTMpI7k7_WQ7O7JdR9V_Z7IgIbBm0qN-ZHVmZSIuIaN-0GlnUaVaZXJ-0aN-ZE-iRaxm0XVgYSJxXSk71Gxd0bRnI8ckL8UgIap-1rN6ZqU7O7JU_GU5Zaxm0XVgYSBd</vt:lpwstr>
  </property>
  <property fmtid="{D5CDD505-2E9C-101B-9397-08002B2CF9AE}" pid="172" name="[YXNn_W2i0WVi2A]170:172">
    <vt:lpwstr>07B8ZWlgIE9nOSB90qVnIGtj2CBmZWZ-1aViYqU52G6-IGNj1bJ-YrQ5YqVg0HM7LCJdZCIuI-FPQX2tIbog3mJk0q-i2HM7O8EgIap-1rN6ZqU7O7JU_GU52aFg2WU5_Ws5YqVg0CBJMn95_XM5_Wt80rJmZWNoI7k7_WQ7O7JjZ-6U2mJxLHg71Gxd0bRnI8ckL8UgIap-1rN6ZqU7O7JU_GU5Zaxm0XVgYSBd07B8ZWlgIE9nOSBrYXM50ax</vt:lpwstr>
  </property>
  <property fmtid="{D5CDD505-2E9C-101B-9397-08002B2CF9AE}" pid="173" name="[YXNn_W2i0WVi2A]171:173">
    <vt:lpwstr>oIHJ-2XN-ZCBo0mB80qpk0GVoZSB80qlp0Ws5SSBjZ7BoYWJgZSAnI7k7_WQ7O7Ji1qtWY7JxXSk73Gpg_WQ7O7J708VbNmIgIa6d0bQ7O7JG0rVmIEdnIFB6_Wto_Wtb4EQlN8dEMnUgRnMtO91oM7lFMTYuRTMpLE9nOTdJNDI7LCJiYWp-I8c7VGxoYWk5SGxp1bM7LCJdZCIuIbdFWWxsI7k72GVs2CIuI-VnZSBo_GU5UpVNSUY5ZbViYr</vt:lpwstr>
  </property>
  <property fmtid="{D5CDD505-2E9C-101B-9397-08002B2CF9AE}" pid="174" name="[YXNn_W2i0WVi2A]172:174">
    <vt:lpwstr>Rd0qs52Gw5Yqxh1Gl-2GU52G6-IFk7VGxoYWk5SGxp1bN1I7B80qlp0Ws5_Ws52GF70GU5Mms5UaVaZXJ-0aN-IHRcZSB61HBm0rBm_WFoZSBa_WVgZCBd07BoYWJgZSAlIGFnIH-j2XI51aFiZqU5YWt9IHRcZSB1I9Vh1Glj3WV-XCI50aFhZXM5_Ws52GF70GU5MmB61mBt0rVmIGNm_XR-1a-6L7JxLHg71bVgZXM7O-hvIbBj_Wto1mIuM</vt:lpwstr>
  </property>
  <property fmtid="{D5CDD505-2E9C-101B-9397-08002B2CF9AE}" pid="175" name="[YXNn_W2i0WVi2A]173:175">
    <vt:lpwstr>Sk70WVn1qFbZSIuI-RcZSBa0rJh2Wl6IG-iIGN-0Gk5S8MtIG-nIG-iYqxm1aV82CIgIa-9I8c72Ept09Q74SlvIbBmZXBm0qNnI8d03mJkYXJ60XM7O7JwJoZj2XI5SbM5UGFd0bRd0a1bISRKJDMt4C2G0rVmIEdnIFB6_Wto_WtbJmFEMTYuRDMpLCBHMn9gIEslN8dOMnU7LCJdZCIuI9tI2FZcI7k71HJjYqV92XJ-I8c7YqVg0HNSZWZ-</vt:lpwstr>
  </property>
  <property fmtid="{D5CDD505-2E9C-101B-9397-08002B2CF9AE}" pid="176" name="[YXNn_W2i0WVi2A]174:176">
    <vt:lpwstr>1aViYqV9SWtG0rJh2Wl6Ibp2LCJk0q-i2HM7O8AiNSk70WVn1qFbZSIuI-RcZSBa0rJh2Wl6IG-iIGN-0Gk5S8MtIHJ-ZaVmZWt8ZXM52G6-IGNj1bJ-YrQ5YqVg0HM7LCJdZCIuI9hiZoRcIbog3mJk0q-i2HM7O8EgIap-1rN6ZqU7O7JU_GU52aFg2WU5_Ws5YqVg0CBKMn95_XM5_Wt80rJmZWNoI7k7_WQ7O7JMUVRUUCJxLHg71Gxd0bR</vt:lpwstr>
  </property>
  <property fmtid="{D5CDD505-2E9C-101B-9397-08002B2CF9AE}" pid="177" name="[YXNn_W2i0WVi2A]175:177">
    <vt:lpwstr>nI8ckL8UgIap-1rN6ZqU7O7JU_GU5Zaxm0XVgYSBd07B8ZWlg1mBKMn952qFnIGtj2CBmZXVnZWQ52Gw5Yqxh1Gl-2GU5Yqxg2WpiIEc50qY52GF70GU5MmIgIa-9I8c7UoZ6REQ74VogIb6h0G-9I8c7YaspZn17LCJc_WtoI8c7Raxp17BK1mBQYW-i2G-iZrlEMTYuRDMpLE1nOTdHNDIgT8EqO9snNSlKMn9uS8QmI7k70aFhZSIuI-Rj2G</vt:lpwstr>
  </property>
  <property fmtid="{D5CDD505-2E9C-101B-9397-08002B2CF9AE}" pid="178" name="[YXNn_W2i0WVi2A]176:178">
    <vt:lpwstr>FgIFB63SIgIa-9I8c72bN7Sa97LCJoZX6oI8c7VXN-IHRcZSBTVUpJR7Ba2Wt82G-j07Bo0mB80qpk0GVoZSBo_GU5XCJU0rR60CBQYX-1I7B80qlp0Ws5_Ws52GF70GU5Mms5UaVaZXJ-0aN-IHRcZSB1I9Vh1Glj3WV-XCI5Za--0GQ5_Ws52GF70GU5MSB61mBt0rVmIHJ60a2-LCBo_GU5XCJF0XBg0r--ZVk7IGt60WVnIG-iIHR6Yal-I</vt:lpwstr>
  </property>
  <property fmtid="{D5CDD505-2E9C-101B-9397-08002B2CF9AE}" pid="179" name="[YXNn_W2i0WVi2A]177:179">
    <vt:lpwstr>DM5YXM53Wxp17B81a-oZXJdYSk5YWt9IHRcZSB1I-Rj2GFgIFB63Vk7IGZdZWl9IG-iIHR6Yal-IDE5YXM53Wxp17Bn2Wp41aFiZqUiIbog3mJm2Wl-1mIuWrg71Gxd0bRnI8clLCJhZXNnYW2-I8c7VG6-IGZj1app0GE5_Ws5YqVg0CBKNDY5_XM5_Wt80rJmZWNoI7k7_WQ7O7JVWbZb3SJxLHg71HJ-1HJjYrM7O-hvIbB61aFh1mIuIbkb</vt:lpwstr>
  </property>
  <property fmtid="{D5CDD505-2E9C-101B-9397-08002B2CF9AE}" pid="180" name="[YXNn_W2i0WVi2A]178:180">
    <vt:lpwstr>Raxp17BK1mBQYW-i2G-iZm16JEc9NDZwJoZj2XI5SbM5UGFd0bRd0a1bIUQoMDdENDYgIE1oN7IgIa-9I8c73aF9U9Y7LCJk1ax8ZWRp1aU7O7J8ZWlg1pJ-ZaVmZWt8ZWRJ09Zj1app0GE74VogIbBj_Wto1mIuMCspLCJhZXNnYW2-I8c7VG6-IGZj1app0GE5_Ws5YqVg0CBKNDY5ZGx-1mBi0rQ51aVaZXJ-0aN-IHRcZSB80rJmZWNoIGN</vt:lpwstr>
  </property>
  <property fmtid="{D5CDD505-2E9C-101B-9397-08002B2CF9AE}" pid="181" name="[YXNn_W2i0WVi2A]179:181">
    <vt:lpwstr>-0GlnI7k7_WQ7O7JFZqJbYSJxLHg71Gxd0bRnI8clLCJhZXNnYW2-I8c7VG6-IHZ60HV-IG-iIGN-0Gk5S8QqIG-nIG-iYqxm1aV82CIgIa-9I8c7Q9JIVrE74SlvIbBj_Wto1mIuMCspLCJhZXNnYW2-I8c7VG6-IGZj1app0GE5_Ws5YqVg0CBKNDY52qFnIGtj2CBmZXVnZWQ52Gw5Yqxh1Gl-2GU5Yqxg2WpiIEc50qY52GF70GU5NCIgIa</vt:lpwstr>
  </property>
  <property fmtid="{D5CDD505-2E9C-101B-9397-08002B2CF9AE}" pid="182" name="[YXNn_W2i0WVi2A]180:182">
    <vt:lpwstr>-9I8c71o-6TFc74VogIb6h0G-9I8c7YaspZn17LCJc_WtoI8c7Raxp17BK1mBQYW-i2G-iZrlENDAuRDQqLE1oN8dHNTAgS8QqO9cpMCIgIat60WU7O7I8IGxaIFRj2WNc2XBnI7k7_WQ7O7JpYrZjV7IgIbR-3HQ7O7JV1qU52G6-IENPVUtUSUY5ZbViYrRd0qs52Gw5Yqxh1Gl-2GU52G6-IFk7ImBjZ7BU0rV8_Cpp1HN1I7B80qlp0Ws5_</vt:lpwstr>
  </property>
  <property fmtid="{D5CDD505-2E9C-101B-9397-08002B2CF9AE}" pid="183" name="[YXNn_W2i0WVi2A]181:183">
    <vt:lpwstr>Ws52GF70GU5NCs5UaVaZXJ-0aN-IHRcZSB61HBm0rBm_WFoZSBa_WVgZCBd07BoYWJgZSAmIGFnIH-j2XI51aFiZqU5YWt9IHRcZSB1I9RdZaZdYrVg2H-1I7BmYXRd0a15_Ws52GF70GU5NCB61mBt0rVmIGNm_XR-1a-6L7JxLHg71bVgZXM7O-hvIbBj_Wto1mIuMSk70WVn1qFbZSIuI-RcZSBa0rJh2Wl6IG-iIGN-0Gk5SnQqIG-nIG-i</vt:lpwstr>
  </property>
  <property fmtid="{D5CDD505-2E9C-101B-9397-08002B2CF9AE}" pid="184" name="[YXNn_W2i0WVi2A]182:184">
    <vt:lpwstr>Yqxm1aV82CIgIa-9I8c7WWZo2-Q74SlvIbBmZXBm0qNnI8d03mJkYXJ60XM7O7JwJoZj2XI5SbM5UGFd0bRd0a1bISRLJDQq4C2G0rVmIEdnIFB6_Wto_WtbJmFHNDYgIEQoMDdFNDY7LCJdZCIuIb6jQaZbI7k71HJjYqV92XJ-I8c7YqVg0HNSZWZ-1aViYqV9SWtG0rJh2Wl6Ibp2LCJk0q-i2HM7O8AiNSk70WVn1qFbZSIuI-RcZSBa0rJ</vt:lpwstr>
  </property>
  <property fmtid="{D5CDD505-2E9C-101B-9397-08002B2CF9AE}" pid="185" name="[YXNn_W2i0WVi2A]183:185">
    <vt:lpwstr>h2Wl6IG-iIGN-0Gk5SnQqIGRjZXM50axoIHJ-ZaVmZWt8ZSBo_GU5Yqxm1aV82CB8ZWlg1mIgIa-9I8c7UWFH1-Q74SlvIbBj_Wto1mIuMSk70WVn1qFbZSIuI-RcZSBqYWlpZSBd07B8ZWlgIEgoN7Bd1mBd0aNj1bJ-YrQ7LCJdZCIuI9pbUFVcIbog3mJk0q-i2HM7O8AiNSk70WVn1qFbZSIuI-RcZSBa0rJh2Wl6IG-iIGN-0Gk5SnQqIH</vt:lpwstr>
  </property>
  <property fmtid="{D5CDD505-2E9C-101B-9397-08002B2CF9AE}" pid="186" name="[YXNn_W2i0WVi2A]184:186">
    <vt:lpwstr>261mBi0rQ51aVp1qV9IHRjIGNj0XBgZXR-IGNj0HVh07BLIGxaIHR6Yal-IDQ7LCJdZCIuIaZs2oRtIbp2LCJs0WldZCIuIaJiNW1rI7k7_G-i2CIuI9Zj2XI5SbM5UGFd0bRd0a2wRDQkO9QoN7lHNDYuRnUkLEUoMDdFNDYgSnQqO9gpMCIgIat60WU7O7JD0rNoIFRj2WNc2XBnI7k7_WQ7O7JsQ9-YUCIgIbR-3HQ7O7JV1qU52G6-IFNVT</vt:lpwstr>
  </property>
  <property fmtid="{D5CDD505-2E9C-101B-9397-08002B2CF9AE}" pid="187" name="[YXNn_W2i0WVi2A]185:187">
    <vt:lpwstr>U-GIGZp0aNo_WxiIHRjIGNj0XBgZXR-IHRcZSB1I9Nj1rQ5VGxpYq5h2XBnXCI5Yqxg2WpiIG-iIHR6Yal-IDQiIFJ-ZaVmZWt8ZSBo_GU5YXBk1axk1a-62GU5Za--0GQ5_Ws52GF70GU5M7B61mBt0rVmIHJ60a2-IGFiZCBo_GU5XCJE_WZa_WNp0HRtXCI51aFo_WtbIG-iIHR6Yal-IDQ5YXM53Wxp17B81a-oZXJdYSs74SlvIbJp0GVn</vt:lpwstr>
  </property>
  <property fmtid="{D5CDD505-2E9C-101B-9397-08002B2CF9AE}" pid="188" name="[YXNn_W2i0WVi2A]186:188">
    <vt:lpwstr>I8d03mJk0q-i2HM7O8EgIap-1rN6ZqU7O7JU_GU5Zaxm0XVgYSBd07B8ZWlgIEsoN7Bd1mBd0aNj1bJ-YrQ7LCJdZCIuIaNq1HJ8Ibog3mJk1aVk1ax81mIuWrg71GFmYWpnI8c74C2G0rVmIEdnIFB6_Wto_WtbJmE9T7QoNbkbRaxp17BK1mBQYW-i2G-iZm16RnEqO91nNSk5RnQqLCBFMTYuRTMpI7k7_WQ7O7JMYVFF07IgIbBm0qN-ZHV</vt:lpwstr>
  </property>
  <property fmtid="{D5CDD505-2E9C-101B-9397-08002B2CF9AE}" pid="189" name="[YXNn_W2i0WVi2A]187:189">
    <vt:lpwstr>mZSIuIaN-0GlnUaVaZXJ-0aN-ZE-iRaxm0XVgYSJxXSk71Gxd0bRnI8ckL8UgIap-1rN6ZqU7O7JU_GU5Zaxm0XVgYSBd07B8ZWlgIEsoN7B90qVnIGtj2CBmZWZ-1aViYqU52G6-IGNj1bJ-YrQ5YqVg0HM7LCJdZCIuIaxO_apiIbog3mJk0q-i2HM7O8EgIap-1rN6ZqU7O7JU_GU52aFg2WU5_Ws5YqVg0CBLNDY5_XM5_Wt80rJmZWNoI7</vt:lpwstr>
  </property>
  <property fmtid="{D5CDD505-2E9C-101B-9397-08002B2CF9AE}" pid="190" name="[YXNn_W2i0WVi2A]188:190">
    <vt:lpwstr>k7_WQ7O7J-YpROSSJxLHg71Gxd0bRnI8ckL8UgIap-1rN6ZqU7O7JU_GU5Zaxm0XVgYSBd07B8ZWlgIEgoN7BrYXM50axoIHJ-2XN-ZCBo0mB80qpk0GVoZSB80qlp0Ws5SmBjZ7BoYWJgZSAoI7k7_WQ7O7JKSURg0SJxXSk73Gpg_WQ7O7J708VbNmIgIa6d0bQ7O7JG0rVmIEdnIFB6_Wto_Wtb4E1lN8dHMnUgRnQqO91pMClFMTYuRTMpL</vt:lpwstr>
  </property>
  <property fmtid="{D5CDD505-2E9C-101B-9397-08002B2CF9AE}" pid="191" name="[YXNn_W2i0WVi2A]189:191">
    <vt:lpwstr>EsoN8dONTA7LCJiYWp-I8c7SGxp1bMjSax71mIgIa-9I8c7Ro2qY-E7LCJoZX6oI8c7VXN-IHRcZSBBV9VSQU2FSUY5ZbViYrRd0qs52Gw5Yqxh1Gl-2GU52G6-IFk7QXZ-1aFbZSBI0rVm1mxK0qJ1I7B80qlp0Ws5_Ws52GF70GU5NCs5UaVaZXJ-0aN-IHRcZSB61HBm0rBm_WFoZSBa_WVgZCBd07BoYWJgZSAlIGFnIH-j2XI51aFiZqU5</vt:lpwstr>
  </property>
  <property fmtid="{D5CDD505-2E9C-101B-9397-08002B2CF9AE}" pid="192" name="[YXNn_W2i0WVi2A]190:192">
    <vt:lpwstr>YWt9IHRcZSB1I9RdZaZdYrVg2H-1I7BmYXRd0a15_Ws52GF70GU5NCB61mBt0rVmIGNm_XR-1a-6L7JxXSk7_WQ7O7J_2XV9SSIgIbR-3HQ7O7JG0rVmIEcb1mBQYW-i2G-iZmBd1mB6IG6j0WU51GFd0bRd0a15Yqxi2HJ6YrRj17Bo_GFoIGNj0XBgZXR-1mBd0bR-1a-j17BkYW-i2G-iZmBr0rJfIGZj17BiZX15Yqxi1rRm2WNo_WxiIHB</vt:lpwstr>
  </property>
  <property fmtid="{D5CDD505-2E9C-101B-9397-08002B2CF9AE}" pid="193" name="[YXNn_W2i0WVi2A]191:193">
    <vt:lpwstr>m0qd-YrRnL7BG0rVmIEcb1mBQYW-i2G-iZmBcYXM5Zaxp17B-0XBg0r--ZXMuIEdd0Sk5Sa-g0Ck5SaFfZSk5YWt9IEd-0atdZaVmL7BZ0rU5_GFqZSB7ZWViIG6d1aV9IHRjIGR-2GVm0W-iZSBc0r152G6-IGNj0XB60b95YqFiIGJ-IGpj1aU5ZWZa_WNdZWtoIGFiZCBk1axq_WR-IGJ-2HR-17BnZXJq_WN-L7BZ0rU5_GFqZSBo1aF8_q</vt:lpwstr>
  </property>
  <property fmtid="{D5CDD505-2E9C-101B-9397-08002B2CF9AE}" pid="194" name="[YXNn_W2i0WVi2A]192:194">
    <vt:lpwstr>V9IG-iZaxm0WFo_WxiIGxiIHRcZSBgYXNoIDIkIHB6_Wto_WtbIHBm0qd-YrRnIG-iIHR6Yal-IDEiIEVh1Glj3WV-1mBmZWN-_XZ-IGJj0bVnZXM5ZaxmIGVaZa-8_WVi2CB60aQ5_G-b_Cpl2WFg_XRtIH2j1agiIEx8YqFn_WxiYWlg3Sk51qxhZSBe0qJnIHJ-1XVd1aU5YWR9_XRd0qt60CBr0rJfIHRjIGNj1bJ-YrQ5Zal62rM5KHRj2</vt:lpwstr>
  </property>
  <property fmtid="{D5CDD505-2E9C-101B-9397-08002B2CF9AE}" pid="195" name="[YXNn_W2i0WVi2A]193:195">
    <vt:lpwstr>WNcLXVkIH2j1agdL7BJ0aZj1ap62G-j07B6Yaxp2CBo_GU51HJj_aV82HM52G662CBmZXFp_XJ-ZCBo0rV8_Cpp1CBr0rJfIG-nIHNo0rJ-ZCBd07BoYWJgZSAmL7BUYWJgZSAnIHNp0Wp61a-uZXM5_Wta0rJhYXRd0qs5YWJj2XQ52G6-IGVh1Glj3WV-1ms5VGF70GU5NCB8YXR-Zqxm_Xd-1mBo_GU51HJj_aV82HM5YWN80rJ9_WtbIHRj</vt:lpwstr>
  </property>
  <property fmtid="{D5CDD505-2E9C-101B-9397-08002B2CF9AE}" pid="196" name="[YXNn_W2i0WVi2A]194:196">
    <vt:lpwstr>IGRdZaZdYrVg2H9iIENj0XBgZXR-IHR6Yal-1mAlIHRc1axpZq55NCBo0mB9ZXR-1apd0aU5_GxrIHRjIGpj1aU5ZWZa_WNdZWto0H95YWt9IGVaZaV82G-qZWltIHJp07Bo_GU5Yqxh1GFi3Ss5Qqxh1Gl-2GU5ZWF8_CBoYXNfIHNjIHRcYXQ52G6-IGZj1app0GFnIH-j2SBp1qU5YqFiIGJ-IGNj1G--ZCB60aQ51GFn2GV9IGRj2qs52Gw</vt:lpwstr>
  </property>
  <property fmtid="{D5CDD505-2E9C-101B-9397-08002B2CF9AE}" pid="197" name="[YXNn_W2i0WVi2A]195:197">
    <vt:lpwstr>5Yqxh1Gl-2GU52G6-IGNj0HVh0bM50qY52G6-IHR6Yal-1ms5RGw50axoIGt60WU53Wxp17Bg0qxf2XA52GF70GVnOmBmYXRcZXIgIH-j2SBn_Gxp0GQ5_qV-1CBo_GVhIGFnIHJ-ZaVmZWt8ZXM5KGUiZms5Q8EqO9MnMC9iI7k72G-o0GU7O7JG0rVmIEcb1mBQYW-i2G-iZmA74SlvIbR61qhnI8d03mJm2Wl-1mIuWrg71Gxd0bRnI8cmLC</vt:lpwstr>
  </property>
  <property fmtid="{D5CDD505-2E9C-101B-9397-08002B2CF9AE}" pid="198" name="[YXNn_W2i0WVi2A]196:198">
    <vt:lpwstr>JhZXNnYW2-I8c7VG6-IFk7VGxoYWk5RqxjZql-IFJ-2aVi2WV1I7B8_GFm2CBo3XB-IG-nIGtj2CB80rJmZWNoL7IgIa-9I8c7V9pbZFQ74SlvIbBj_Wto1mIuM7k70WVn1qFbZSIuI-RcZSB9YXR6IGZj17Bo_GU5XCJU0rR60CBH0qxb0GU5UaVqZWtpZVk7IGNcYXJoIG-nIGtj2CB80rJmZWNoL7IgIa-9I8c7UpJc2Wk74SlvIbBj_Wto1</vt:lpwstr>
  </property>
  <property fmtid="{D5CDD505-2E9C-101B-9397-08002B2CF9AE}" pid="199" name="[YXNn_W2i0WVi2A]197:199">
    <vt:lpwstr>mIuM7k70WVn1qFbZSIuI-RcZSBc0rJd3axi2GFgIGFs_XM50GF7ZWlnIGZj17Bo_GU5XCJU0rR60CBH0qxb0GU5UaVqZWtpZVk7IGNcYXJoIGFmZSBi0rQ5Yqxm1aV82Cs7LCJdZCIuIbRHUbd9Ibog3mJk0q-i2HM7O8EgIap-1rN6ZqU7O7JU_GU5XCJU0rR60CBH0qxb0GU5UaVqZWtpZVk7IGNcYXJoIHNc0rVgZCBi0rQ5_GFqZSB6IGl-</vt:lpwstr>
  </property>
  <property fmtid="{D5CDD505-2E9C-101B-9397-08002B2CF9AE}" pid="200" name="[YXNn_W2i0WVi2A]198:200">
    <vt:lpwstr>ZqViZCs7LCJdZCIuI--f1opOIbp2LCJs0WldZCIuIbVcOGdmI7k7_G-i2CIuI92j0q2gZXlDMTIuS8EmI7k70aFhZSIuI9Nj0HVh07IgIa-9I8c7VEVT1957LCJoZX6oI8c7Qqxi1rRm2WNoIGE5Yqxg2WpiIGNcYXJoIHRjIGVsYWpd0aU52G6-IHRj2GFgIGFi0bV60CBmZXZ-0bV-IGZj17BH0qxb0GUgIE-iYms5ZbJj0SAmMDAnIHRjIDI</vt:lpwstr>
  </property>
  <property fmtid="{D5CDD505-2E9C-101B-9397-08002B2CF9AE}" pid="201" name="[YXNn_W2i0WVi2A]199:201">
    <vt:lpwstr>kMTAgIHVn_WtbIHRcZSB9YXR6IG-iIHR6Yal-IDE5KHJ60a2-IEMlM8dKMTIdL7BG0rJhYXQ52G6-IGNcYXJoIH2d2G552G6-IHRd2Gl-IFk7VGxoYWk5RqxjZql-IFJ-2aVi2WV1I7B60aQ52G6-IH--YXJnIGF81axn1mBo_GU5_Gxm_Xdj0bR60CB63G-nL7BE0mBi0rQ5_Wt80HV9ZSB6IGl-ZqViZCs5TaxoZTc5_Ws50rJ9ZXI5ZaxmIH</vt:lpwstr>
  </property>
  <property fmtid="{D5CDD505-2E9C-101B-9397-08002B2CF9AE}" pid="202" name="[YXNn_W2i0WVi2A]200:202">
    <vt:lpwstr>RcZSBb1aF9_WtbIGViZq-iZSBo0mBdZGVi2G-a3SBo_GU5Yq661bQ5ZaxmIG2mYWRd0a1gIHRcZSBo_XRgZSBh2XNoIGJ-IHBmZWNd1qVg3Sk5XHUmMDF8VGxoYWk5RqxjZql-IFJ-2aVi2WV12TIkMWQ5KH2d2G6j2XQ52G6-IHFp0rR-1m9iIbog3mJm2Wl-1mIuWrg71Gxd0bRnI8clMmspLCJhZXNnYW2-I8c7VG6-IFk7VGxoYWk5RqxjZ</vt:lpwstr>
  </property>
  <property fmtid="{D5CDD505-2E9C-101B-9397-08002B2CF9AE}" pid="203" name="[YXNn_W2i0WVi2A]201:203">
    <vt:lpwstr>ql-IFJ-2aVi2WV1I7B8_GFm2CB90qVnIGtj2CBcYXZ-IGE52HJ-0aRg_Wt-XCI7LCJdZCIuI92C2olXIbp2LCJs0WldZCIuIbVcOGdmI7k7_G-i2CIuI92j0q2gZXlDMTIuS8EmI7k70aFhZSIuI-RmZWt9IENj0HVh07IgIa-9I8c7Vp2aSo57LCJoZX6oI8c7QWR9IGE50G-iZWFmIHRmZWt90G-iZSBo0mBo_GU5XCJU0rR60CBH0qxb0GU5</vt:lpwstr>
  </property>
  <property fmtid="{D5CDD505-2E9C-101B-9397-08002B2CF9AE}" pid="204" name="[YXNn_W2i0WVi2A]202:204">
    <vt:lpwstr>UaVqZWtpZVk7IGNcYXJoL7JxLHg71bVgZXM7O-hvIbBj_Wto1mIuMSk70WVn1qFbZSIuI-RcZSB1I-FpYXJoZXJg3SBH0qxb0GU5UaVqZWtpZVk7IGNcYXJoIHRt1GU5_XM50axoIGNj1bJ-YrQiI7k7_WQ7O7JbQqtJ3CJxLHg71Gxd0bRnI8cmLCJhZXNnYW2-I8c7UTE5ZGFoYSBd1mBi0rQ5_Ws52G6-IGNcYXJoI7k7_WQ7O7JCSUxsZmJ</vt:lpwstr>
  </property>
  <property fmtid="{D5CDD505-2E9C-101B-9397-08002B2CF9AE}" pid="205" name="[YXNn_W2i0WVi2A]203:205">
    <vt:lpwstr>xLHg71Gxd0bRnI8cmLCJhZXNnYW2-I8c7UTI5ZGFoYSBd1mBi0rQ5_Ws52G6-IGNcYXJoI7k7_WQ7O7JqVWZD_mJxLHg71Gxd0bRnI8cmLCJhZXNnYW2-I8c7UTM5ZGFoYSBd1mBi0rQ5_Ws52G6-IGNcYXJoI7k7_WQ7O7JjSGJM3CJxLHg71Gxd0bRnI8cmLCJhZXNnYW2-I8c7UTQ5ZGFoYSBd1mBi0rQ5_Ws52G6-IGNcYXJoI7k7_WQ7O7</vt:lpwstr>
  </property>
  <property fmtid="{D5CDD505-2E9C-101B-9397-08002B2CF9AE}" pid="206" name="[YXNn_W2i0WVi2A]204:206">
    <vt:lpwstr>JU1pRMVCJxLHg71Gxd0bRnI8clLCJhZXNnYW2-I8c7VG6-IHN60GVnIHRj2GFgIHNc0rVgZCBi0rQ5YaU5_Wt80HV9ZWQ5_Ws52G6-IFk7UXV61bR-1altIE2j0q2gZSBSZXZ-0bV-XCI5Yq661bQiI7k7_WQ7O7JgS9J63SJxLHg71Gxd0bRnI8clLCJhZXNnYW2-I8c7VG6-IG6j1a-u0qtoYWk5YX6d1mBgYWJ-0HM5ZaxmIHRcZSB1I-FpY</vt:lpwstr>
  </property>
  <property fmtid="{D5CDD505-2E9C-101B-9397-08002B2CF9AE}" pid="207" name="[YXNn_W2i0WVi2A]205:207">
    <vt:lpwstr>XJoZXJg3SBH0qxb0GU5UaVqZWtpZVk7IGNcYXJoIGFmZSBi0rQ5Yqxm1aV82Cs7LCJdZCIuI92_YX2WIbog3mJk0q-i2HM7O8EgIap-1rN6ZqU7O7JU_GU5XCJR2WFm2GVm0H95RqxjZql-IFJ-2aVi2WV1I7B8_GFm2CBn_Gxp0GQ5Yqxi2GFd07B6IGl-ZqViZCs7LCJdZCIuIaxWRpJKIbp2LCJs0WldZCIuIaotOWldI7k7_G-i2CIuI92j</vt:lpwstr>
  </property>
  <property fmtid="{D5CDD505-2E9C-101B-9397-08002B2CF9AE}" pid="208" name="[YXNn_W2i0WVi2A]206:208">
    <vt:lpwstr>0q2gZXlDODdKMTE7LCJiYWp-I8c7UrR6Yqh-ZCBD0qlp0Ws7LCJdZCIuI-2tUaFjI7k72GVs2CIuI9Nj0bNo1bV82CB6IHNoYWNfZWQ5Yqxg2WpiIGNcYXJoIHRjIGNj0XB61aU52G6-IHJ-2aVi2WU52GxoYWlnIGZj17B-YWNcIH--YXIgIHVn_WtbIHRcZSBl2WFm2GVm0H951aVqZWtpZSBo0rR60HM5KHJ60a2-IEMsO9clMS9iIEZj1ap</vt:lpwstr>
  </property>
  <property fmtid="{D5CDD505-2E9C-101B-9397-08002B2CF9AE}" pid="209" name="[YXNn_W2i0WVi2A]207:209">
    <vt:lpwstr>62CBo_GU5Yq661bQ52q-o_CBo_GU52G-o0GU5XCJH0qxb0GU5UaVqZWtpZSB73SBR2WFm2GVmLFk7IHRcZSBtZWFmIGFnIHRcZSBc0rJd3axi2GFgIGFs_XMgIGFiZCB6IGl-ZqViZCBo_GFoIGR-1G-82HM5ZWF8_CBl2WFm2GVmIHVn_WtbIHRcZSBoZX6oIGl6YaVg1mBk1axq_WR-ZCBd07Bo_GU52GF70GVnL7BE0mBi0rQ5_Wt80HV9ZS</vt:lpwstr>
  </property>
  <property fmtid="{D5CDD505-2E9C-101B-9397-08002B2CF9AE}" pid="210" name="[YXNn_W2i0WVi2A]208:210">
    <vt:lpwstr>Bo_GU52GxoYWk5YWti2WFgIHJ-2aVi2WU5KHJ60a2-IEMlM8dKMTIdIG-iIHRcZSB8_GFm2Cs5TaxoZTc5_Ws50rJ9ZXI5ZaxmIHRcZSBb1aF9_WtbIGViZq-iZSBo0mBdZGVi2G-a3SBo_GU5Yq661bQ5ZaxmIG2mYWRd0a1gIHRcZSBo_XRgZSBh2XNoIGJ-IHBmZWNd1qVg3Sk5XHUmMDF8RqxjZql-IFJ-2aVi2WU5Yb95UXV61bR-1-lpM</vt:lpwstr>
  </property>
  <property fmtid="{D5CDD505-2E9C-101B-9397-08002B2CF9AE}" pid="211" name="[YXNn_W2i0WVi2A]209:211">
    <vt:lpwstr>8AlZCAc2q-o_Gxp2CBo_GU51XVj2GVnKSs74SlvIbJp0GVnI8d03mJk0q-i2HM7O8EgIap-1rN6ZqU7O7JU_GU5XCJH0qxb0GU5UqVb0WVi2HN1I7B8_GFm2CBo3XB-IG-nIGtj2CB80rJmZWNoL7IgIa-9I8c7_WdaZoc74SlvIbBj_Wto1mIuM7k70WVn1qFbZSIuI-RcZSB9YXR6IGZj17Bo_GU5XCJH0qxb0GU5UqVb0WVi2HN1I7B8_GFm</vt:lpwstr>
  </property>
  <property fmtid="{D5CDD505-2E9C-101B-9397-08002B2CF9AE}" pid="212" name="[YXNn_W2i0WVi2A]210:212">
    <vt:lpwstr>2CBd1mBi0rQ5Yqxm1aV82Cs7LCJdZCIuIaNFT-2sIbog3mJk0q-i2HM7O8EgIap-1rN6ZqU7O7JU_GU5XCJH0qxb0GU5UqVb0WVi2HN1I7B8_GFm2CBn_Gxp0GQ5Yqxi2GFd07B6IGl-ZqViZCs7LCJdZCIuIatjVahdIbog3mJk0q-i2HM7O8IgIap-1rN6ZqU7O7JU_GU5YqFoZW2j1b950GF7ZWlnIGZj17Bo_GU5XCJH0qxb0GU5UqVb0WV</vt:lpwstr>
  </property>
  <property fmtid="{D5CDD505-2E9C-101B-9397-08002B2CF9AE}" pid="213" name="[YXNn_W2i0WVi2A]211:213">
    <vt:lpwstr>i2HN1I7B8_GFm2CB61aU50axoIGNj1bJ-YrQiI7k7_WQ7O7JET-VHSmJxLHg71Gxd0bRnI8clLCJhZXNnYW2-I8c7VG6-IFk7RqxjZql-IFN-Zqp-0bRnXCI5Yq661bQ51q6j2Wl9IGNj0bR6_Ws5ZGFoYSBgYWJ-0HMiI7k7_WQ7O7JrUGt9YSJxLHg71Gxd0bRnI8cmLCJhZXNnYW2-I8c7VG6-IFk7RqxjZql-IFN-Zqp-0bRnXCI5ZGFoYS</vt:lpwstr>
  </property>
  <property fmtid="{D5CDD505-2E9C-101B-9397-08002B2CF9AE}" pid="214" name="[YXNn_W2i0WVi2A]212:214">
    <vt:lpwstr>BgYWJ-0HM51q6j2Wl9IGJ-IGRd1rBgYX--ZCB61mB6IHB-1aN-0bR6ZqUiI7k7_WQ7O7JR0aNh_SJxXSk73Gpg_WQ7O7JtZnIm17IgIa6d0bQ7O7JH0qxb0GVwS8EqO9clOCIgIat60WU7O7JQ_WU7LCJdZCIuIb2b2GlFI7k72GVs2CIuI9Nj0bNo1bV82CB6IHBdZSB8_GFm2CBo0mB80qpkYXJ-IHRcZSB72XNd0aVn1mBnZW2hZWto1mBa0</vt:lpwstr>
  </property>
  <property fmtid="{D5CDD505-2E9C-101B-9397-08002B2CF9AE}" pid="215" name="[YXNn_W2i0WVi2A]213:215">
    <vt:lpwstr>rI5M8AlMCAc1aFiZqU5S8EqO9clOC9iIEZj1ap62CBo_GU5Yq661bQ52q-o_CBo_GU52G-o0GU5XCJH0qxb0GU5UaVqZWtpZSB73SBC2XNd0aVn1mBTZW2hZWtoXCI5YSBgZW2-0aQ52G662CB9ZXBdYrRnIGV6Yq55YbVn_Wt-1rM51qVb0WVi2Ck5YWt9IGR62GE50GF7ZWlnIH2d2G552G6-IHB-1aN-0bR6ZqU5ZaxmIGV6Yq551qVb0WVi</vt:lpwstr>
  </property>
  <property fmtid="{D5CDD505-2E9C-101B-9397-08002B2CF9AE}" pid="216" name="[YXNn_W2i0WVi2A]214:216">
    <vt:lpwstr>2CBj07Bo_GU5Yq661bQiIEtj2GUuIG-iIGxmZGVmIGZj17Bo_GU5ZrJ6ZG-iZmB-0a2d0aU52Gw5_WR-0bRdZb952G6-IGNcYXJoIGZj17Bb1aF9_WtbLCBo_GU52G-o0GU50XVn2CB7ZSBk1aV8_XN-0H9gIFlpM8AlYo2j0q2gZSBSZXZ-0bV-IGJtIEJp1q-iZXNnIFN-Zqp-0bR12TIkMWQ5KH2d2G6j2XQ52G6-IHFp0rR-1m9iIbog3mJ</vt:lpwstr>
  </property>
  <property fmtid="{D5CDD505-2E9C-101B-9397-08002B2CF9AE}" pid="217" name="[YXNn_W2i0WVi2A]215:217">
    <vt:lpwstr>m2Wl-1mIuWrg71Gxd0bRnI8clLCJhZXNnYW2-I8c7VG6-IFk7RqxjZql-IFJ-2aVi2WU5TG-iZVk7IGNcYXJoIHRt1GU5_XM50axoIGNj1bJ-YrQiI7k7_WQ7O7JZ3--TWSJxLHg71Gxd0bRnI8cmLCJhZXNnYW2-I8c7VG6-IGR62GE5ZaxmIHRcZSB1I92j0q2gZSBSZXZ-0bV-IEld0aV1I7Bd1mBi0rQ5Yqxm1aV82Cs7LCJdZCIuI9x-To</vt:lpwstr>
  </property>
  <property fmtid="{D5CDD505-2E9C-101B-9397-08002B2CF9AE}" pid="218" name="[YXNn_W2i0WVi2A]216:218">
    <vt:lpwstr>JWIbog3mJk0q-i2HM7O8IgIap-1rN6ZqU7O7JU_GU5_Gxm_Xdj0bR60CB63G-nIGl6YaVg1mBa0rI52G6-IFk7RqxjZql-IFJ-2aVi2WU5TG-iZVk7IGNcYXJoIGFmZSBi0rQ5Yqxm1aV82Cs7LCJdZCIuI96ITGRqIbog3mJk0q-i2HM7O8EgIap-1rN6ZqU7O7JU_GU5XCJH0qxb0GU5UaVqZWtpZSBM_Wt-XCI5Yq661bQ51q6j2Wl9IGtj2</vt:lpwstr>
  </property>
  <property fmtid="{D5CDD505-2E9C-101B-9397-08002B2CF9AE}" pid="219" name="[YXNn_W2i0WVi2A]217:219">
    <vt:lpwstr>CB80qtoYW-iIGE50GVbZWt9L7IgIa-9I8c7_axa2oQ74VogIb6h0G-9I8c72aolMqk7LCJc_WtoI8c7RqxjZql-4EMlOTdKMT97LCJiYWp-I8c7TG-iZSIgIa-9I8c7Ua2WTHM7LCJoZX6oI8c7Qqxi1rRm2WNoIGE50G-iZSB8_GFm2CBo0mB-3GFh_Wt-IHRcZSBo0rR60CB60atpYWk51aVqZWtpZSBa0rI5RqxjZql-LCBJ0aMiIGZm0qo5</vt:lpwstr>
  </property>
  <property fmtid="{D5CDD505-2E9C-101B-9397-08002B2CF9AE}" pid="220" name="[YXNn_W2i0WVi2A]218:220">
    <vt:lpwstr>M8AkMmBo0mAmMDEkIC6p1qU52G6-IGR62GE5_Ws52GF70GU5M7AhIHJ60a2-IEMlOTdKMT9dL7BG0rJhYXQ52G6-IGNcYXJoIH2d2G552G6-IHRd2Gl-IGxiIHRj1CB1I92j0q2gZSBSZXZ-0bV-IEld0aV1I7B60aQ52G6-IH--YXJnIGF81axn1mBo_GU5_Gxm_Xdj0bR60CB63G-nL7BE0mBi0rQ5_Wt80HV9ZSB6IGl-ZqViZCs5TaxoZTc</vt:lpwstr>
  </property>
  <property fmtid="{D5CDD505-2E9C-101B-9397-08002B2CF9AE}" pid="221" name="[YXNn_W2i0WVi2A]219:221">
    <vt:lpwstr>5_Ws50rJ9ZXI5ZaxmIHRcZSBb1aF9_WtbIGViZq-iZSBo0mBdZGVi2G-a3SBo_GU5Yq661bQ5ZaxmIG2mYWRd0a1gIHRcZSBo_XRgZSBh2XNoIGJ-IHBmZWNd1qVg3Sk5XHUmMDF8RqxjZql-IFJ-2aVi2WU5TG-iZVlpM8AlZCAc2q-o_Gxp2CBo_GU51XVj2GVnKSs74SlvIbJp0GVnI8d03mJk0q-i2HM7O8EnL8UgIap-1rN6ZqU7O7JU_G</vt:lpwstr>
  </property>
  <property fmtid="{D5CDD505-2E9C-101B-9397-08002B2CF9AE}" pid="222" name="[YXNn_W2i0WVi2A]220:222">
    <vt:lpwstr>U5XCJH0qxb0GU5UaVqZWtpZSBM_Wt-XCI5Yq661bQ5ZGx-1mBi0rQ5_GFqZSB6IHRmZWt90G-iZSs7LCJdZCIuIbZBUVFZIbp2LCJs0WldZCIuIbZhMTNgI7k7_G-i2CIuI92j0q2gZXlDMT9uS8EtI7k70aFhZSIuI-RmZWt9IEld0aU7LCJdZCIuIb2W2UZRI7k72GVs2CIuI9F9ZCB6IGld0aV617Bo1aViZGld0aU52Gw52G6-IFk7RqxjZ</vt:lpwstr>
  </property>
  <property fmtid="{D5CDD505-2E9C-101B-9397-08002B2CF9AE}" pid="223" name="[YXNn_W2i0WVi2A]221:223">
    <vt:lpwstr>ql-IFJ-2aVi2WU5TG-iZSB1I7B8_GFm2Cs74VogIa-9I8c72GtEZoY7LCJoZX6oI8c7UaVq_WVrIHRcZSBoYWJgZXM5_Ws52G6-IFk7RqxjZql-XCI52qxm_rNcZWVoIHRcYXQ5ZGVoYW-gIHRcZSBmZXZ-0bV-IGZj17BH0qxb0GUgIE-iYms5ZbJj0SAmMDAnIHRjIDIkMTAiIENj0XBgZXR-IHRcZSBoYXNf1mBo0mB80qtn2HJpYrQ5YSB8</vt:lpwstr>
  </property>
  <property fmtid="{D5CDD505-2E9C-101B-9397-08002B2CF9AE}" pid="224" name="[YXNn_W2i0WVi2A]222:224">
    <vt:lpwstr>0qlp0WsgIHNoYWNfZWQ5Yqxg2WpiLCBk_WUgIGFiZCBg_Wt-IGNcYXJoIGFiZCBo0mB9_XN80rZ-17BkYXRoZXJi1mBj17Bo1aViZHM5_Ws51aVqZWtpZSB6YrJj1rM52G6-IGVdZq6oIH--YXJnL7IgIbRd2Gl-I8c7RqxjZql-ICJxLHg72GFn_rM7O-hvIbJp0GVnI8d03mJk0q-i2HM7O8EgIap-1rN6ZqU7O7JU_GU5Zaxm0XVgYSBd07B</vt:lpwstr>
  </property>
  <property fmtid="{D5CDD505-2E9C-101B-9397-08002B2CF9AE}" pid="225" name="[YXNn_W2i0WVi2A]223:225">
    <vt:lpwstr>8ZWlgIEQlMCBd1mBd0aNj1bJ-YrQiI7k7_WQ7O7Jg3HRdUCJxLHg71Gxd0bRnI8clLCJhZXNnYW2-I8c7VG6-IHZ60HV-IG-iIGN-0Gk5RDEkIG-nIG-iYqxm1aV82Cs7LCJdZCIuIbN62-ZdIbog3mJk1aVk1ax81mIuWrg71GFmYWpnI8c74FNkZWt9_WtbISREJDEk4FNkZWt9_WtbIUQtI7k7_WQ7O7J9S9ph17IgIbBm0qN-ZHVmZSIuIa</vt:lpwstr>
  </property>
  <property fmtid="{D5CDD505-2E9C-101B-9397-08002B2CF9AE}" pid="226" name="[YXNn_W2i0WVi2A]224:226">
    <vt:lpwstr>N-0GlnUaVaZXJ-0aN-ZE-iRaxm0XVgYSJxXSk71Gxd0bRnI8clLCJhZXNnYW2-I8c7VG6-IGZj1app0GE5_Ws5YqVg0CBEMTA5ZGx-1mBi0rQ51aVaZXJ-0aN-IHRcZSB80rJmZWNoIGN-0GlnI7k7_WQ7O7J-1HBJWCJxXSk73Gpg_WQ7O7J8Y8-rZCIgIa6d0bQ7O7JT1GViZG-iZrlEMTAgRD97LCJiYWp-I8c7TGViI7k7_WQ7O7JaWGFj3</vt:lpwstr>
  </property>
  <property fmtid="{D5CDD505-2E9C-101B-9397-08002B2CF9AE}" pid="227" name="[YXNn_W2i0WVi2A]225:227">
    <vt:lpwstr>CIgIbR-3HQ7O7JV1qU52G6-IElFT7Ba2Wt82G-j07Bd07B8ZWlgIEQlMCBo0mB9ZXR-1apd0aU52G6-IGtp0WJ-17BjZ7B8_GFmYWNoZXJnIG-iIHRcZSBn2GFoZWp-0bQ52GVh1Gl62GU5_Ws5YqVg0CBEOSs74SlvIbJp0GVnI8d03mJk0q-i2HM7O8EgIap-1rN6ZqU7O7JU_GU5Zaxm0XVgYSBd07B8ZWlgIEQlMSBd1mBd0aNj1bJ-YrQi</vt:lpwstr>
  </property>
  <property fmtid="{D5CDD505-2E9C-101B-9397-08002B2CF9AE}" pid="228" name="[YXNn_W2i0WVi2A]226:228">
    <vt:lpwstr>I7k7_WQ7O7JLW-FgQ7JxLHg71Gxd0bRnI8clLCJhZXNnYW2-I8c7VG6-IHZ60HV-IG-iIGN-0Gk5RDElIG-nIG-iYqxm1aV82Cs7LCJdZCIuIb6oUWZUIbog3mJk1aVk1ax81mIuWrg71GFmYWpnI8c74FNkZWt9_WtbISREJDEl4FNkZWt9_WtbIUQtI7k7_WQ7O7JS2XJHSSIgIbBm0qN-ZHVmZSIuIaN-0GlnUaVaZXJ-0aN-ZE-iRaxm0XV</vt:lpwstr>
  </property>
  <property fmtid="{D5CDD505-2E9C-101B-9397-08002B2CF9AE}" pid="229" name="[YXNn_W2i0WVi2A]227:229">
    <vt:lpwstr>gYSJxXSk71Gxd0bRnI8clLCJhZXNnYW2-I8c7VG6-IGZj1app0GE5_Ws5YqVg0CBEMTE5ZGx-1mBi0rQ51aVaZXJ-0aN-IHRcZSB80rJmZWNoIGN-0GlnI7k7_WQ7O7JkWF2V0mJxLHg71Gxd0bRnI8clLCJhZXNnYW2-I8c7VG6-IGZj1app0GE5_Ws5RDElIGRjZXM50axoIG662aU52G6-IGNj1bJ-YrQ5XCJr_XRc_Ws52GVs2Fk7IGFmZr</vt:lpwstr>
  </property>
  <property fmtid="{D5CDD505-2E9C-101B-9397-08002B2CF9AE}" pid="230" name="[YXNn_W2i0WVi2A]228:230">
    <vt:lpwstr>VhZWtoI7k7_WQ7O7J9Vq-cSCJxXSk73Gpg_WQ7O7J8Y8-rZCIgIa6d0bQ7O7JT1GViZG-iZrlEMTEgRD97LCJiYWp-I8c7UqV61aNcICM7LCJdZCIuI96HRFNBI7k72GVs2CIuI-VnZSBo_GU5UoVBU9NIIGZp0aNo_WxiIG-iIGN-0Gk5RDElIHRjIGR-2GVm0W-iZSBo_GU51Gxn_XRd0qs50qY52G6-IFk7Ipk7IGNcYXJ6YrR-17Bd07Bo_</vt:lpwstr>
  </property>
  <property fmtid="{D5CDD505-2E9C-101B-9397-08002B2CF9AE}" pid="231" name="[YXNn_W2i0WVi2A]229:231">
    <vt:lpwstr>GU51rR62GVhZWtoIHR-0XBgYXR-IC68ZWlgIEQtKSs74SlvIbJp0GVnI8d03mJk0q-i2HM7O8EgIap-1rN6ZqU7O7JU_GU5Zaxm0XVgYSBd07B8ZWlgIEQlM7Bd1mBd0aNj1bJ-YrQiI7k7_WQ7O7JX1p-d17JxLHg71Gxd0bRnI8clLCJhZXNnYW2-I8c7VG6-IHZ60HV-IG-iIGN-0Gk5RDEmIG-nIG-iYqxm1aV82Cs7LCJdZCIuI--UQqt9</vt:lpwstr>
  </property>
  <property fmtid="{D5CDD505-2E9C-101B-9397-08002B2CF9AE}" pid="232" name="[YXNn_W2i0WVi2A]230:232">
    <vt:lpwstr>Ibog3mJk1aVk1ax81mIuWrg71GFmYWpnI8c74FNkZWt9_WtbISREJDEm4FNkZWt9_WtbIUQtI7k7_WQ7O7JVVEVjQmIgIbBm0qN-ZHVmZSIuIaN-0GlnUaVaZXJ-0aN-ZE-iRaxm0XVgYSJxXSk71Gxd0bRnI8clLCJhZXNnYW2-I8c7VG6-IGZj1app0GE5_Ws5YqVg0CBEMTI5ZGx-1mBi0rQ51aVaZXJ-0aN-IHRcZSB80rJmZWNoIGN-0Gl</vt:lpwstr>
  </property>
  <property fmtid="{D5CDD505-2E9C-101B-9397-08002B2CF9AE}" pid="233" name="[YXNn_W2i0WVi2A]231:233">
    <vt:lpwstr>nI7k7_WQ7O7JQYVZ8TSJxLHg71Gxd0bRnI8clLCJhZXNnYW2-I8c7VG6-IGZj1app0GE5_Ws5RDEmIGRjZXM50axoIG662aU52G6-IGNj1bJ-YrQ5XCJa_Wt9IHR-3HR1I7B61a2p0WVi2CIgIa-9I8c7_GNb2qM74VogIb6h0G-9I8c7YqIt2qQ7LCJc_WtoI8c7UrB-0aRd0a2wRDEmLEQtI7k70aFhZSIuI-N-YXJ8_CA9I7k7_WQ7O7J63V</vt:lpwstr>
  </property>
  <property fmtid="{D5CDD505-2E9C-101B-9397-08002B2CF9AE}" pid="234" name="[YXNn_W2i0WVi2A]232:234">
    <vt:lpwstr>2tT7IgIbR-3HQ7O7JV1qU52G6-IFNFQVJDSCBa2Wt82G-j07Bd07B8ZWlgIEQlM7Bo0mB9ZXR-1apd0aU52G6-IHBj1q-o_WxiIGxaIHRcZSB1I7R1I7B8_GFmYWNoZXI5_Ws52G6-IHNoYXR-0WVi2CBoZWpk0GFoZSAcYqVg0CBEOS9iIbog3mJm2Wl-1mIuWrg71Gxd0bRnI8clLCJhZXNnYW2-I8c7VG6-IGZj1app0GE5_Ws5YqVg0CBEM</vt:lpwstr>
  </property>
  <property fmtid="{D5CDD505-2E9C-101B-9397-08002B2CF9AE}" pid="235" name="[YXNn_W2i0WVi2A]233:235">
    <vt:lpwstr>TM5_XM5_Wt80rJmZWNoL7IgIa-9I8c7V96r2pM74SlvIbBj_Wto1mIuMSspLCJhZXNnYW2-I8c7VG6-IHZ60HV-IG-iIGN-0Gk5RDEnIG-nIG-iYqxm1aV82Cs7LCJdZCIuIa-tTGlUIbog3mJk1aVk1ax81mIuWrg71GFmYWpnI8c74FNkZWt9_WtbISREJDEn4FNkZWt9_WtbIUQtLCBEMTI7LCJdZCIuIaNZ1bNEI7k71HJjYqV92XJ-I8c7</vt:lpwstr>
  </property>
  <property fmtid="{D5CDD505-2E9C-101B-9397-08002B2CF9AE}" pid="236" name="[YXNn_W2i0WVi2A]234:236">
    <vt:lpwstr>YqVg0HNSZWZ-1aViYqV9SWtG0rJh2Wl6Ibp2LCJk0q-i2HM7O8EgIap-1rN6ZqU7O7JU_GU5Zaxm0XVgYSBd07B8ZWlgIEQlMmB90qVnIGtj2CBmZWZ-1aViYqU52G6-IGNj1bJ-YrQ5YqVg0HM7LCJdZCIuIaxp_9VJIbp2LCJs0WldZCIuIaN7OX29I7k7_G-i2CIuI-NkZWt9_Wtb4EQlMmlEOSlEMTI7LCJiYWp-I8c7TGVa2CIgIa-9I8c</vt:lpwstr>
  </property>
  <property fmtid="{D5CDD505-2E9C-101B-9397-08002B2CF9AE}" pid="237" name="[YXNn_W2i0WVi2A]235:237">
    <vt:lpwstr>7W-6n2GI7LCJoZX6oI8c7VXN-IHRcZSBMRUZUIGZp0aNo_WxiIG-iIGN-0Gk5RDEnIHRjIHJ-2HVm07Bo_GU52GVs2CB1I9951rB-0bQ5JFk7IGZm0qo52G6-IHNoYXR-0WVi2CBoZWpk0GFoZSBd07B8ZWlgIEQtL7BSZWZ-17Bo0mBo_GU50Gx8YXRd0qs50qY52G6-IFk7JFk7IGNcYXJ6YrR-17Bt0rU5YqFgYrVgYXR-ZCBd07B8ZWlgIE</vt:lpwstr>
  </property>
  <property fmtid="{D5CDD505-2E9C-101B-9397-08002B2CF9AE}" pid="238" name="[YXNn_W2i0WVi2A]236:238">
    <vt:lpwstr>QlM7B61mBo_GU5XCJi2Wp4Yq661-k7IGFmZrVhZWtoIGZj17Bt0rVmIGZp0aNo_WxiL7JxLHg71bVgZXM7O-hvIbBj_Wto1mIuMSk70WVn1qFbZSIuI-RcZSBa0rJh2Wl6IG-iIGN-0Gk5RDEoIG-nIG-iYqxm1aV82Cs7LCJdZCIuI9laZUZ6Ibog3mJk0q-i2HM7O8EgIap-1rN6ZqU7O7JU_GU52aFg2WU5_Ws5YqVg0CBEMTQ5_XM5_Wt80</vt:lpwstr>
  </property>
  <property fmtid="{D5CDD505-2E9C-101B-9397-08002B2CF9AE}" pid="239" name="[YXNn_W2i0WVi2A]237:239">
    <vt:lpwstr>rJmZWNoL7IgIa-9I8c7VV-ERbY74SlvIbBmZXBm0qNnI8d03mJkYXJ60XM7O7JwUrB-0aRd0a16JEQ9MTRwUrB-0aRd0a16RD9gIEQlMTdEMTI7LCJdZCIuI-NG1GpqI7k71HJjYqV92XJ-I8c7YqVg0HNSZWZ-1aViYqV9SWtG0rJh2Wl6Ibp2LCJk0q-i2HM7O8EgIap-1rN6ZqU7O7JU_GU5Zaxm0XVgYSBd07B8ZWlgIEQlNCB90qVnIGtj</vt:lpwstr>
  </property>
  <property fmtid="{D5CDD505-2E9C-101B-9397-08002B2CF9AE}" pid="240" name="[YXNn_W2i0WVi2A]238:240">
    <vt:lpwstr>2CBmZWZ-1aViYqU52G6-IGNj1bJ-YrQ5YqVg0HM7LCJdZCIuIa2e0p-SIbp2LCJs0WldZCIuIaN7OX29I7k7_G-i2CIuI-NkZWt9_Wtb4EQlNClEOSlEMTIgRDElI7k70aFhZSIuI9pdZCIgIa-9I8c739xgSpA7LCJoZX6oI8c7VXN-IHRcZSBNSUQ5ZbViYrRd0qs5_Ws5YqVg0CBEMTQ52Gw51aVo2XJiIHRcZSBoZX6oIFk7YXQ50WVmYq6</vt:lpwstr>
  </property>
  <property fmtid="{D5CDD505-2E9C-101B-9397-08002B2CF9AE}" pid="241" name="[YXNn_W2i0WVi2A]239:241">
    <vt:lpwstr>60bQ5Ipk7IGZm0qo52G6-IHNoYXR-0WVi2CBoZWpk0GFoZSBd07B8ZWlgIEQtL7BSZWZ-17Bo0mBo_GU50Gx8YXRd0qs50qY52G6-IFk7JFk7IC6d07B8ZWlgIEQlM7-12TIkMTR6ZGdp1rR-ZCB73SB6ZGRd0a15MVlpM8AlNGFnIHRcZSB1IbNoYXJoXqtp0Vk7IGFmZrVhZWtoL7BV1qU52G6-IGRdZaZ-1aViYqU5YaVo2qV-07Bo_GU50G</vt:lpwstr>
  </property>
  <property fmtid="{D5CDD505-2E9C-101B-9397-08002B2CF9AE}" pid="242" name="[YXNn_W2i0WVi2A]240:242">
    <vt:lpwstr>x8YXRd0qs50qY52G6-IFk7Ipk7IGNcYXJ6YrR-17Ac_Ws5YqVg0CBEMTEdIGFiZCBo_GU5XCI9XCI5Yq661aF82GVmIC6d07B8ZWlgIEQlM795YXM52G6-IFk70bVhXqNcYXJ1I7B61a2p0WVi2Cs74SlvIbJp0GVnI8d03mJk0q-i2HM7O8EgIap-1rN6ZqU7O7JU_GU5Zaxm0XVgYSBd07B8ZWlgIEQlNSBd1mBd0aNj1bJ-YrQiI7k7_WQ7O</vt:lpwstr>
  </property>
  <property fmtid="{D5CDD505-2E9C-101B-9397-08002B2CF9AE}" pid="243" name="[YXNn_W2i0WVi2A]241:243">
    <vt:lpwstr>7JkVotK2CJxLHg71Gxd0bRnI8clLCJhZXNnYW2-I8c7VG6-IHZ60HV-IG-iIGN-0Gk5RDEpIG-nIG-iYqxm1aV82Cs7LCJdZCIuIaVKVGV7Ibog3mJk1aVk1ax81mIuWrg71GFmYWpnI8c74FNkZWt9_WtbISREJDEp4FNkZWt9_WtbIUQtO9QlMSIgIa-9I8c729RjZEE7LCJk1ax8ZWRp1aU7O7J8ZWlg1pJ-ZaVmZWt8ZWRJ09Zj1app0GE7</vt:lpwstr>
  </property>
  <property fmtid="{D5CDD505-2E9C-101B-9397-08002B2CF9AE}" pid="244" name="[YXNn_W2i0WVi2A]242:244">
    <vt:lpwstr>4VogIbBj_Wto1mIuMSk70WVn1qFbZSIuI-RcZSBa0rJh2Wl6IG-iIGN-0Gk5RDEpIGRjZXM50axoIHJ-ZaVmZWt8ZSBo_GU5Yqxm1aV82CB8ZWlg1mIgIa-9I8c7UV-OU-E74VogIb6h0G-9I8c7YqIt2qQ7LCJc_WtoI8c7UrB-0aRd0a2wRDEpLEQtLEQlMClEMTE7LCJiYWp-I8c7Ua-b_HQ7LCJdZCIuI-JH3H6mI7k72GVs2CIuI-VnZSB</vt:lpwstr>
  </property>
  <property fmtid="{D5CDD505-2E9C-101B-9397-08002B2CF9AE}" pid="245" name="[YXNn_W2i0WVi2A]243:245">
    <vt:lpwstr>o_GU5U9-HSFQ5ZbViYrRd0qs5_Ws5YqVg0CBEMTU52Gw51aVo2XJiIHRcZSBoZX6oIFk70qsuXCI5ZbJj0SBo_GU51rR62GVhZWtoIHR-0XBgYXR-IG-iIGN-0Gk5RD9iIFVnZSBo_GU5ZG-aZaVmZWt8ZSB7ZXRrZWViIHRcZSBgZWtb2G550qY52G6-IHNoYXR-0WVi2CBoZWpk0GFoZSAc_Ws5YqVg0CBEMTAdIGFiZCBo_GU50Gx8YXRd0q</vt:lpwstr>
  </property>
  <property fmtid="{D5CDD505-2E9C-101B-9397-08002B2CF9AE}" pid="246" name="[YXNn_W2i0WVi2A]244:246">
    <vt:lpwstr>s50qY52G6-IFk7Ipk7IGNcYXJ6YrR-17Ac_Ws5YqVg0CBEMTEdIGFnIHRcZSB1Iatp0Vx8_GFmXCI5YXJb2Wp-0bQiIbog3mJm2Wl-1mIuWrg71Gxd0bRnI8clLCJhZXNnYW2-I8c7VG6-IGZj1app0GE5_Ws5YqVg0CBFMT55_XM5_Wt80rJmZWNoL7IgIa-9I8c7YpRnYoc74SlvIbBmZXBm0qNnI8d03mJkYXJ60XM7O7JwUrB-0aRd0a16J</vt:lpwstr>
  </property>
  <property fmtid="{D5CDD505-2E9C-101B-9397-08002B2CF9AE}" pid="247" name="[YXNn_W2i0WVi2A]245:247">
    <vt:lpwstr>EU9MT6wUrB-0aRd0a16Q8EsI7k7_WQ7O7JIQ-Rh37IgIbBm0qN-ZHVmZSIuIaN-0GlnUaVaZXJ-0aN-ZE-iRaxm0XVgYSJxXSk71Gxd0bRnI8clLCJhZXNnYW2-I8c7VG6-IGZj1app0GE5_Ws5YqVg0CBFMT55ZGx-1mBi0rQ51aVaZXJ-0aN-IHRcZSB80rJmZWNoIGN-0GlnI7k7_WQ7O7JdYqtjTSJxLHg71Gxd0bRnI8clLCJhZXNnYW2-</vt:lpwstr>
  </property>
  <property fmtid="{D5CDD505-2E9C-101B-9397-08002B2CF9AE}" pid="248" name="[YXNn_W2i0WVi2A]246:248">
    <vt:lpwstr>I8c7VG6-IHZ60HV-IG-iIGN-0Gk5RTEsIG-nIG-iYqxm1aV82Cs7LCJdZCIuIaFI2GNdIbog3mJk0q-i2HM7O8EgIap-1rN6ZqU7O7JU_GU5Zaxm0XVgYSBd07BFMT552qFnIGtj2CBmZXVnZWQ52Gw5Yqxh1Gl-2GU5Yqxg2WpiIEU7LCJdZCIuI-BHSHFBIbp2LCJs0WldZCIuIaRpM8EkI7k7_G-i2CIuI-NkZWt9_Wtb4EUlODdFMT5gQ8E</vt:lpwstr>
  </property>
  <property fmtid="{D5CDD505-2E9C-101B-9397-08002B2CF9AE}" pid="249" name="[YXNn_W2i0WVi2A]247:249">
    <vt:lpwstr>sO9IlOCIgIat60WU7O7JN0qto_CIgIa-9I8c71qx6YbQ7LCJoZX6oI8c7VXN-IHRcZSBNTotUSCBa2Wt82G-j07Bd07B8ZWlgIEUlOCBo0mB8YWl82Wl62GU52G6-IGpj0bRcIHBj1bRd0qs50qY52G6-IFk7VG-hZSBT2GFh1Fk7IG-iIGN-0Gk5Q8EsL7BD0rBtIGFiZCBkYXNoZSBt0rVmIGZp0aNo_WxiIGRj2qs52Gw5Yqxh1Gl-2GU52G</vt:lpwstr>
  </property>
  <property fmtid="{D5CDD505-2E9C-101B-9397-08002B2CF9AE}" pid="250" name="[YXNn_W2i0WVi2A]248:250">
    <vt:lpwstr>6-IFk7TWxi2G61I7B80qlp0Ws50qY52G6-IHR6Yal-L7JxLHg71bVgZXM7O-hvIbBj_Wto1mIuMSk70WVn1qFbZSIuI-RcZSBa0rJh2Wl6IG-iIGN-0Gk5R8EsIG-nIG-iYqxm1aV82Cs7LCJdZCIuI9-72rJfIbog3mJk1aVk1ax81mIuWrg71GFmYWpnI8c74FNkZWt9_WtbISRGJDEs4FNkZWt9_WtbIUIlOCIgIa-9I8c7TGtD_XY7LCJk1</vt:lpwstr>
  </property>
  <property fmtid="{D5CDD505-2E9C-101B-9397-08002B2CF9AE}" pid="251" name="[YXNn_W2i0WVi2A]249:251">
    <vt:lpwstr>ax8ZWRp1aU7O7J8ZWlg1pJ-ZaVmZWt8ZWRJ09Zj1app0GE74VogIbBj_Wto1mIuMSk70WVn1qFbZSIuI-RcZSBa0rJh2Wl6IG-iIGN-0Gk5R8EsIGRjZXM50axoIHJ-ZaVmZWt8ZSBo_GU5Yqxm1aV82CB8ZWlg1mIgIa-9I8c7YrJWUE574SlvIbBj_Wto1mIuMSk70WVn1qFbZSIuI-RcZSBqYWlpZSBd07B8ZWlgIEYlOCBd1mBd0aNj1bJ-</vt:lpwstr>
  </property>
  <property fmtid="{D5CDD505-2E9C-101B-9397-08002B2CF9AE}" pid="252" name="[YXNn_W2i0WVi2A]250:252">
    <vt:lpwstr>YrQiI7k7_WQ7O7JV3WxE1SJxLHg71Gxd0bRnI8clLCJhZXNnYW2-I8c7VG6-IGZj1app0GE5_Ws5YqVg0CBGMT552qFnIGtj2CBmZXVnZWQ52Gw5Yqxh1Gl-2GU5Yqxg2WpiIEY7LCJdZCIuIbdXSatfIbp2LCJs0WldZCIuIaRpM8EkI7k7_G-i2CIuI-NkZWt9_Wtb4EYlODdGMT5gQ8EsO9IlOCIgIat60WU7O7JEYX97LCJdZCIuIaZY1Fd</vt:lpwstr>
  </property>
  <property fmtid="{D5CDD505-2E9C-101B-9397-08002B2CF9AE}" pid="253" name="[YXNn_W2i0WVi2A]251:253">
    <vt:lpwstr>lI7k72GVs2CIuI-VnZSBo_GU5REFZIGZp0aNo_WxiIG-iIGN-0Gk5R8EsIHRjIGN60GNp0GFoZSBo_GU5ZGFtIHBj1bRd0qs50qY52G6-IFk7VG-hZSBT2GFh1Fk7IG-iIGN-0Gk5Q8EsL7BD0rBtIGFiZCBkYXNoZSBt0rVmIGZp0aNo_WxiIGRj2qs52Gw5Yqxh1Gl-2GU52G6-IFk7RGFtXCI5Yqxg2WpiIGxaIHRcZSBoYWJgZSs74SlvIb</vt:lpwstr>
  </property>
  <property fmtid="{D5CDD505-2E9C-101B-9397-08002B2CF9AE}" pid="254" name="[YXNn_W2i0WVi2A]252:254">
    <vt:lpwstr>Jp0GVnI8d03mJk0q-i2HM7O8EgIap-1rN6ZqU7O7JU_GU5Zaxm0XVgYSBd07B8ZWlgIE1lOCBd1mBd0aNj1bJ-YrQiI7k7_WQ7O7J_Z-FY2mJxLHg71HJ-1HJjYrM7O-hvIbB61aFh1mIuIblT1GViZG-iZmE9RmQlOHlT1GViZG-iZmFCMT57LCJdZCIuI-dfUGtlI7k71HJjYqV92XJ-I8c7YqVg0HNSZWZ-1aViYqV9SWtG0rJh2Wl6Ibp2L</vt:lpwstr>
  </property>
  <property fmtid="{D5CDD505-2E9C-101B-9397-08002B2CF9AE}" pid="255" name="[YXNn_W2i0WVi2A]253:255">
    <vt:lpwstr>CJk0q-i2HM7O8EgIap-1rN6ZqU7O7JU_GU5Zaxm0XVgYSBd07BHMT55ZGx-1mBi0rQ51aVaZXJ-0aN-IHRcZSB80rJmZWNoIGN-0GlnI7k7_WQ7O7JV_G-pT7JxLHg71Gxd0bRnI8clLCJhZXNnYW2-I8c7VG6-IHZ60HV-IG-iIGN-0Gk5RnEsIG-nIG-iYqxm1aV82Cs7LCJdZCIuIaF-SUpCIbog3mJk0q-i2HM7O8EgIap-1rN6ZqU7O7JU</vt:lpwstr>
  </property>
  <property fmtid="{D5CDD505-2E9C-101B-9397-08002B2CF9AE}" pid="256" name="[YXNn_W2i0WVi2A]254:256">
    <vt:lpwstr>_GU5Zaxm0XVgYSBd07B8ZWlgIE1lOCBrYXM51aVp1qV9IHRjIGNj0XBgZXR-IGNj0HVh07BHI7k7_WQ7O7JPZVNc17JxXSk73Gpg_WQ7O7J92TIlMCIgIa6d0bQ7O7JT1GViZG-iZrlHMT5uRnEsLEIlODdCMT57LCJiYWp-I8c7SGxp17IgIa-9I8c7TE6RQpU7LCJoZX6oI8c7VXN-IHRcZSBITpVSIGZp0aNo_WxiIG-iIGN-0Gk5RnEsIHR</vt:lpwstr>
  </property>
  <property fmtid="{D5CDD505-2E9C-101B-9397-08002B2CF9AE}" pid="257" name="[YXNn_W2i0WVi2A]255:257">
    <vt:lpwstr>jIGN60GNp0GFoZSBo_GU5_Gxp17Bk0rJo_WxiIGxaIHRcZSB1I-Rd0WU5UrR60XB1I7Bd07B8ZWlgIEIlOCs5Qqxk3SB60aQ51GFn2GU53Wxp17Ba2Wt82G-j07B90r2iIHRjIGNj0XBgZXR-IHRcZSB1I96j2XJ1I7B80qlp0Ws50qY52G6-IHR6Yal-L7JxLHg71bVgZXM7O-hvIbBj_Wto1mIuMSk70WVn1qFbZSIuI-RcZSBa0rJh2Wl6IG</vt:lpwstr>
  </property>
  <property fmtid="{D5CDD505-2E9C-101B-9397-08002B2CF9AE}" pid="258" name="[YXNn_W2i0WVi2A]256:258">
    <vt:lpwstr>-iIGN-0Gk5SDEsIG-nIG-iYqxm1aV82Cs7LCJdZCIuIadi_aRZIbog3mJk1aVk1ax81mIuWrg71GFmYWpnI8c74FNkZWt9_WtbISRIJDEs4FNkZWt9_WtbIUIlOCIgIa-9I8c72b-W2rQ7LCJk1ax8ZWRp1aU7O7J8ZWlg1pJ-ZaVmZWt8ZWRJ09Zj1app0GE74VogIbBj_Wto1mIuMSk70WVn1qFbZSIuI-RcZSBa0rJh2Wl6IG-iIGN-0Gk5S</vt:lpwstr>
  </property>
  <property fmtid="{D5CDD505-2E9C-101B-9397-08002B2CF9AE}" pid="259" name="[YXNn_W2i0WVi2A]257:259">
    <vt:lpwstr>DEsIGRjZXM50axoIHVnZSB80rJmZWNoIHJ-ZaVmZWt8ZXM7LCJdZCIuIb2W3algIbog3mJk0q-i2HM7O8EgIap-1rN6ZqU7O7JU_GU52aFg2WU5_Ws5YqVg0CBIMT55_XM5_Wt80rJmZWNoL7IgIa-9I8c7TaZ71qo74SlvIbBj_Wto1mIuMSk70WVn1qFbZSIuI-RcZSBa0rJh2Wl6IG-iIGN-0Gk5SDEsIH261mBi0rQ51aVp1qV9IHRjIGNj</vt:lpwstr>
  </property>
  <property fmtid="{D5CDD505-2E9C-101B-9397-08002B2CF9AE}" pid="260" name="[YXNn_W2i0WVi2A]258:260">
    <vt:lpwstr>0XBgZXR-IGNj0HVh07BII7k7_WQ7O7JZYbBtSCJxXSk73Gpg_WQ7O7J92TIlMCIgIa6d0bQ7O7JT1GViZG-iZrlIMT5uSDEsLEIlODdCMT57LCJiYWp-I8c7TW-i2XR-I7k7_WQ7O7JIRpFMUmIgIbR-3HQ7O7JV1qU52G6-IEpJT-VURSBa2Wt82G-j07Bd07B8ZWlgIE5lOCBo0mB8YWl82Wl62GU52G6-IGpd0bVoZSBk0rJo_WxiIGxaIHR</vt:lpwstr>
  </property>
  <property fmtid="{D5CDD505-2E9C-101B-9397-08002B2CF9AE}" pid="261" name="[YXNn_W2i0WVi2A]259:261">
    <vt:lpwstr>cZSB1I-Rd0WU5UrR60XB1I7Bd07B8ZWlgIEIlOCs5Qqxk3SB60aQ51GFn2GU53Wxp17Ba2Wt82G-j07B90r2iIHRjIGNj0XBgZXR-IHRcZSB1I9pd0bVoZVk7IGNj0HVh07BjZ7Bo_GU52GF70GUiIbog3mJm2Wl-1mIuWrg71Gxd0bRnI8clLCJhZXNnYW2-I8c7VG6-IGZj1app0GE5_Ws5YqVg0CBJMT55_XM5_Wt80rJmZWNoL7IgIa-9I8</vt:lpwstr>
  </property>
  <property fmtid="{D5CDD505-2E9C-101B-9397-08002B2CF9AE}" pid="262" name="[YXNn_W2i0WVi2A]260:262">
    <vt:lpwstr>c7VqxGQqk74SlvIbBmZXBm0qNnI8d03mJkYXJ60XM7O7JwUrB-0aRd0a16JE99MT6wUrB-0aRd0a16Q8EsI7k7_WQ7O7J9SVJUT7IgIbBm0qN-ZHVmZSIuIaN-0GlnUaVaZXJ-0aN-ZE-iRaxm0XVgYSJxXSk71Gxd0bRnI8clLCJhZXNnYW2-I8c7VG6-IGZj1app0GE5_Ws5YqVg0CBJMT55ZGx-1mBi0rQ52XN-IGNj1bJ-YrQ51aVaZXJ-0</vt:lpwstr>
  </property>
  <property fmtid="{D5CDD505-2E9C-101B-9397-08002B2CF9AE}" pid="263" name="[YXNn_W2i0WVi2A]261:263">
    <vt:lpwstr>aN-1mIgIa-9I8c7ZWxo1HM74SlvIbBj_Wto1mIuMSk70WVn1qFbZSIuI-RcZSBqYWlpZSBd07B8ZWlgIE9lOCBd1mBd0aNj1bJ-YrQiI7k7_WQ7O7JJR96uVmJxLHg71Gxd0bRnI8clLCJhZXNnYW2-I8c7VG6-IGZj1app0GE5_Ws5YqVg0CBJMT552qFnIGtj2CBmZXVnZWQ52Gw5Yqxh1Gl-2GU5Yqxg2WpiIE97LCJdZCIuIbVN_rd_Ibp2</vt:lpwstr>
  </property>
  <property fmtid="{D5CDD505-2E9C-101B-9397-08002B2CF9AE}" pid="264" name="[YXNn_W2i0WVi2A]262:264">
    <vt:lpwstr>LCJs0WldZCIuIaRpM8EkI7k7_G-i2CIuI-NkZWt9_Wtb4E9lODdJMT5gQ8EsO9IlOCIgIat60WU7O7JTZWNj0aQ7LCJdZCIuIbR_QURFI7k72GVs2CIuI-VnZSBo_GU5UoVDTotEIGZp0aNo_WxiIG-iIGN-0Gk5STEsIHRjIGN60GNp0GFoZSBo_GU51qV80qt9IHBj1bRd0qs50qY52G6-IFk7VG-hZSBT2GFh1Fk7IG-iIGN-0Gk5Q8EsL7B</vt:lpwstr>
  </property>
  <property fmtid="{D5CDD505-2E9C-101B-9397-08002B2CF9AE}" pid="265" name="[YXNn_W2i0WVi2A]263:265">
    <vt:lpwstr>D0rBtIGFiZCBkYXNoZSBt0rVmIGZp0aNo_WxiIGRj2qs52Gw5Yqxh1Gl-2GU52G6-IFk7UqV80qt9XCI5Yqxg2WpiIGxaIHRcZSBoYWJgZSs74SlvIbJp0GVnI8d03mJk0q-i2HM7O8EgIap-1rN6ZqU7O7JU_GU5Zaxm0XVgYSBd07B8ZWlgIEclOCBd1mBd0aNj1bJ-YrQiI7k7_WQ7O7JZVa6YU7JxLHg71HJ-1HJjYrM7O-hvIbB61aFh1m</vt:lpwstr>
  </property>
  <property fmtid="{D5CDD505-2E9C-101B-9397-08002B2CF9AE}" pid="266" name="[YXNn_W2i0WVi2A]264:266">
    <vt:lpwstr>IuIblT1GViZG-iZmE9S7QlOHlT1GViZG-iZmFFMT5uR8EsI7k7_WQ7O7J61EVCT7IgIbBm0qN-ZHVmZSIuIaN-0GlnUaVaZXJ-0aN-ZE-iRaxm0XVgYSJxXSk71Gxd0bRnI8clLCJhZXNnYW2-I8c7VG6-IGZj1app0GE5_Ws5YqVg0CBKMT55ZGx-1mBi0rQ52XN-IHRcZSB80rJmZWNoIGN-0Gk51aVaZXJ-0aN-1mIgIa-9I8c7QbJESag74</vt:lpwstr>
  </property>
  <property fmtid="{D5CDD505-2E9C-101B-9397-08002B2CF9AE}" pid="267" name="[YXNn_W2i0WVi2A]265:267">
    <vt:lpwstr>SlvIbBj_Wto1mIuMSk70WVn1qFbZSIuI-RcZSBa0rJh2Wl6IG-iIGN-0Gk5S8EsIGRjZXM50axoIGNj0bR6_Ws52G6-IFk7Lpk7IGNcYXJ6YrR-17IgIa-9I8c7WFJmUpQ74SlvIbBj_Wto1mIuMSk70WVn1qFbZSIuI-RcZSBqYWlpZSBd07B8ZWlgIEclOCBd1mBd0aNj1bJ-YrQiI7k7_WQ7O7JUTHRE3CJxLHg71Gxd0bRnI8clLCJhZXNn</vt:lpwstr>
  </property>
  <property fmtid="{D5CDD505-2E9C-101B-9397-08002B2CF9AE}" pid="268" name="[YXNn_W2i0WVi2A]266:268">
    <vt:lpwstr>YW2-I8c7VG6-IGZj1app0GE5_Ws5S8EsIG-nIGtj2CBmZXVnZWQ52Gw5Yqxh1Gl-2GU5Yqxg2WpiIEc7LCJdZCIuI-6Y3XRKIbp2LCJs0WldZCIuIaN7OX29I7k7_G-i2CIuI-NkZWt9_Wtb4EclODdKMT5gRTEsO9UlOClGMT5uR8EsI7k70aFhZSIuI9Nj0aN62CBEYXR-I7k7_WQ7O7Jt2VVaY7IgIbR-3HQ7O7JV1qU52G6-IENPT9NBVCB</vt:lpwstr>
  </property>
  <property fmtid="{D5CDD505-2E9C-101B-9397-08002B2CF9AE}" pid="269" name="[YXNn_W2i0WVi2A]267:269">
    <vt:lpwstr>a2Wt82G-j07Ac0rI52G6-IENPT9NBVEVOQVRFIGZp0aNo_WxiIG-aIH-j2SB61aU52XNd0a15RX68ZWk5M8AlMmBj17B-YXJg_WVmKSBd07B8ZWlgIEclOCBo0mB81aV62GU52G6-IFk7RGFoZVk7IGJtIGNj0WJd0a-iZmBo_GU5XCJN0qto_Fk7IG-iIGN-0Gk5RTEsIH2d2G552G6-IFk7RGFtXCI5_Ws5YqVg0CBGMT5iIFk7RGFoZVk7IH</vt:lpwstr>
  </property>
  <property fmtid="{D5CDD505-2E9C-101B-9397-08002B2CF9AE}" pid="270" name="[YXNn_W2i0WVi2A]268:270">
    <vt:lpwstr>Nc0rVgZCBp1qU52G6d1mBn3WtoYX5uIFk7TWxi2G5jRGFtL-k7IF-j2XI5ZbViYrRd0qs51q6j2Wl9LCBo_GVmZWZj1aUgIGFg1qw5_WtnZXJoIHRcZSB1I7x1I7B8_GFmYWNoZXI5YaVo2qV-07Bo_GU5XCJN0qto_Fk7IGFiZCB1I9R63St1I7BD0rBtIGFiZCBkYXNoZSBt0rVmIGZj1app0GE5ZGxr07Bo0mB80qpk0GVoZSBo_GU5XCJEY</vt:lpwstr>
  </property>
  <property fmtid="{D5CDD505-2E9C-101B-9397-08002B2CF9AE}" pid="271" name="[YXNn_W2i0WVi2A]269:271">
    <vt:lpwstr>XR-XCI5Yqxg2WpiIGxaIHRcZSBoYWJgZSs74SlvIbJp0GVnI8d03mJk0q-i2HM7O8EgIap-1rN6ZqU7O7JU_GU5Zaxm0XVgYSBd07B8ZWlgIEglOCBd1mBd0aNj1bJ-YrQiI7k7_WQ7O7JS0F-JSSJxLHg71HJ-1HJjYrM7O-hvIbB61aFh1mIuIblT1GViZG-iZmE9SmQlOHlT1GViZG-iZmFDMT5uRDEsLCBEMTMuRDEpLCBKMT57LCJdZCIu</vt:lpwstr>
  </property>
  <property fmtid="{D5CDD505-2E9C-101B-9397-08002B2CF9AE}" pid="272" name="[YXNn_W2i0WVi2A]270:272">
    <vt:lpwstr>I-2kTotcI7k71HJjYqV92XJ-I8c7YqVg0HNSZWZ-1aViYqV9SWtG0rJh2Wl6Ibp2LCJk0q-i2HM7O8EiNSk70WVn1qFbZSIuI-RcZSBa0rJh2Wl6IG-iIEglOCB90qVnIGtj2CBmZWZ-1aViYqU52G6-IGNj1bJ-YrQ5YqVg0HM7LCJdZCIuIaVpQpFdIbog3mJk0q-i2HM7O8EgIap-1rN6ZqU7O7JU_GU52aFg2WU5_Ws5YqVg0CBLMT55_XM</vt:lpwstr>
  </property>
  <property fmtid="{D5CDD505-2E9C-101B-9397-08002B2CF9AE}" pid="273" name="[YXNn_W2i0WVi2A]271:273">
    <vt:lpwstr>5_Wt80rJmZWNoL7IgIa-9I8c7SGhnT9g74SlvIbBj_Wto1mIuMSk70WVn1qFbZSIuI-RcZSBa0rJh2Wl6IG-iIEglOCBd1mBi0rQ51aVp1qV9IHRjIGNj0XBgZXR-IEglOCIgIa-9I8c7V9lC2W974VogIb6h0G-9I8c7YqIt2qQ7LCJc_WtoI8c7UrB-0aRd0a2wSnEsO9glOClEMTMgRDEsO9QlOClEMTQgQnEsO9MlOClEMTUgS8EsO9clOC</vt:lpwstr>
  </property>
  <property fmtid="{D5CDD505-2E9C-101B-9397-08002B2CF9AE}" pid="274" name="[YXNn_W2i0WVi2A]272:274">
    <vt:lpwstr>IgIat60WU7O7JD0qt8YXQ5UrR62GVhZWtoI7k7_WQ7O7JN1rFqUmIgIbR-3HQ7O7JV1qU52G6-IENPT9NBVCBa2Wt82G-j07Ac0rI52G6-IENPT9NBVEVOQVRFIGZp0aNo_WxiIG-aIH-j2SB61aU52XNd0a15RX68ZWk5M8AlMmBj17B-YXJg_WVmKSBo0mB81aV62GU52G6-IFk7VHJ60bN6YrRd0qs5UrR62GVhZWtoXCI5_Ws5YqVg0CBLM</vt:lpwstr>
  </property>
  <property fmtid="{D5CDD505-2E9C-101B-9397-08002B2CF9AE}" pid="275" name="[YXNn_W2i0WVi2A]273:275">
    <vt:lpwstr>T5iIFRcZSBn2GFoZWp-0bQ5_Ws5YqVg0CBLMT551q6j2Wl9IHJ-YWQ5XCJJIHNkZWtoICQmNCskN7B62CBhZXJ8_GFi2CA8ND9nMSBj08c5OCwlXCIiIFRjIGp6_qU52G6d1mBn2GFoZWp-0bQgIGNj0WJd0aU5XCJT2GFoZWp-0bQ5UDF1I7Bd07B8ZWlgIEQlMmk52G6-IFk7QWpj2WtoXCI5_Ws5YqVg0CBEMT5gIFk7UrR62GVhZWtoIFAm</vt:lpwstr>
  </property>
  <property fmtid="{D5CDD505-2E9C-101B-9397-08002B2CF9AE}" pid="276" name="[YXNn_W2i0WVi2A]274:276">
    <vt:lpwstr>XCI5_Ws5YqVg0CBEMTQgIHRcZSB1I9p-1aNcYWtoIE-EXCI5_Ws5YqVg0CBDMT5gIFk7UrR62GVhZWtoIFAnXCI5_Ws5YqVg0CBEMTUgIGFiZCBo_GU5XCJEYXR-XCI5_Ws5YqVg0CBKMT5iIENj1H95YWt9IHB61rR-IH-j2XI5ZbViYrRd0qs5ZGxr07Bo0mB80qpk0GVoZSBo_GU5XCJU1aFi1qF82G-j07BT2GFoZWp-0bR1I7B80qlp0Ws</vt:lpwstr>
  </property>
  <property fmtid="{D5CDD505-2E9C-101B-9397-08002B2CF9AE}" pid="277" name="[YXNn_W2i0WVi2A]275:277">
    <vt:lpwstr>50qY52G6-IHR6Yal-L7JxXSk7_WQ7O7JOZp2NU7IgIbR-3HQ7O7JZ0rU5_GFqZSB81aV62GV9IGE52qxm_rNcZWVoIC61I-NkZWt9_WtbXCIdIHRjIG6-0HA53WxpIHRmYWNfIH-j2XI51rB-0aRd0a15ZaxmIHRcZSBh0qto_CBjZ7BB2W2p1rQiIF-j2SB61aU5YWJgZSBo0mB90r2i0Gx6ZCBt0rVmIGR-Ya-oIGN61aQ52HJ60bN6YrRd0q</vt:lpwstr>
  </property>
  <property fmtid="{D5CDD505-2E9C-101B-9397-08002B2CF9AE}" pid="278" name="[YXNn_W2i0WVi2A]276:278">
    <vt:lpwstr>tnIGZm0qo53Wxp17B7YWtfJrM52qV71q-oZSk5YbVoIHRcZSBd0aZj1ap62G-j07Bd1mBi0rQ51HJ-1qVi2GV9IG-iIGE5Yql-YXI52qFtL7BU_GU52HJ60bN6YrRd0qs5_Wta0rJhYXRd0qs5_Wt80HV9ZXM5YSBo_Wp-IHNoYWpkIC66IGtp0WJ-17Bo_GFoIHRcZSB7YWtfIGFn1qx8_WFoZXM52q-o_CB6IHNkZWNdZa-8IGR62GU5YWt9I</vt:lpwstr>
  </property>
  <property fmtid="{D5CDD505-2E9C-101B-9397-08002B2CF9AE}" pid="279" name="[YXNn_W2i0WVi2A]277:279">
    <vt:lpwstr>HRd0WUdLCBhZXJ8_GFi2CBJRCk5YWt9IGFh0rVi2CBa0rI5ZWF8_CBjZ7Bo_GU5N8M52HJ60bN6YrRd0qtnIH-j2SBhYWR-IG-iIEFpZrVn2Cs5WWxpIG662aU5ZGV8_WR-ZCBo0mBp1qU52q662CBt0rU5_qtj2mB6Yaxp2CBc0r15RX68ZWk5_GFiZGl-1mB9YXR-1mk52G-hZXMgIGFiZCBoZX6oIHRjIHJ-Zaxm0WFoIHRcZSBd0aZj1ap6</vt:lpwstr>
  </property>
  <property fmtid="{D5CDD505-2E9C-101B-9397-08002B2CF9AE}" pid="280" name="[YXNn_W2i0WVi2A]278:280">
    <vt:lpwstr>2G-j07Bt0rU51aV8ZW-qZWQ5ZbJj0SBt0rVmIGJ60ag5YWt9IGp6_qU5_XQ5ZWFn_WVmIHRjIHJ-YWQ5YWt9IHViZGVm1rR60aQiIENj0XBgZXR-IHRcZSBoYWJgZSB7ZWlj2mB73SBkZXJa0rJh_WtbIGV6Yq550qY52G6-IHR61qhnL7BJ07Bo_GU51a-b_HRh0rNoIGNj0HVh07BjZ7Bo_GU52GF70GUgIH-j2SBr_WlgIGNmZWFoZSB6IHN</vt:lpwstr>
  </property>
  <property fmtid="{D5CDD505-2E9C-101B-9397-08002B2CF9AE}" pid="281" name="[YXNn_W2i0WVi2A]279:281">
    <vt:lpwstr>oYXR-0WVi2CB6Yaxp2CB-YWNcIHRmYWtnYWNo_WxiL7BU_G-nIHNoYXR-0WVi2CBa0qlg0r2nIHRcZSBa0rJhYXQ50qY52G6-IHR-0XBgYXR-IG-iIGN-0Gk5RD9iIEJ-YqFp1qU52G6-1aU50WFtIGJ-IGpj1aU52G6607Bj0aU52qFtIHRjIGNj0XBgZXR-IGV6Yq55Za--0GQ50qY52G6-IHR6Yal-LCBp1qU52G6-IGZp0aNo_Wxi1mBn2W</vt:lpwstr>
  </property>
  <property fmtid="{D5CDD505-2E9C-101B-9397-08002B2CF9AE}" pid="282" name="[YXNn_W2i0WVi2A]280:282">
    <vt:lpwstr>2bZXNoZWQ5_Ws5ZWF8_CBjZ7Bo_GU52GFn_mB9ZXN81a-k2G-j0bMiI7k72G-o0GU7O7JT1GViZG-iZmA74SlvIbR61qhnI8d03mJm2Wl-1mIuWrg71Gxd0bRnI8clLCJhZXNnYW2-I8c7VG6-IGFqZXJ6ZqU5YqFgYrVgYXRd0qs5ZaxmIEFo2GViZGFiYqU5_XM50axoIGNj1bJ-YrQiI7k7_WQ7O7JuTbBl_mJxLHg71Gxd0bRnI8clLCJhZ</vt:lpwstr>
  </property>
  <property fmtid="{D5CDD505-2E9C-101B-9397-08002B2CF9AE}" pid="283" name="[YXNn_W2i0WVi2A]281:283">
    <vt:lpwstr>XNnYW2-I8c7VG6-IGFqZXJ6ZqU5YqFgYrVgYXRd0qs5ZaxmIFBm0q2mYWo51qFgZXM5_XM50axoIGNj1bJ-YrQiI7k7_WQ7O7JVWE6hU7JxLHg71Gxd0bRnI8clLCJhZXNnYW2-I8c7VG6-IGFqZXJ6ZqU5YqFgYrVgYXRd0qs5ZaxmIEZj0qQ51qFgZXM5_XM50axoIGNj1bJ-YrQiI7k7_WQ7O7Jb_XNG07JxLHg71Gxd0bRnI8clLCJhZXNn</vt:lpwstr>
  </property>
  <property fmtid="{D5CDD505-2E9C-101B-9397-08002B2CF9AE}" pid="284" name="[YXNn_W2i0WVi2A]282:284">
    <vt:lpwstr>YW2-I8c7VG6-IGFqZXJ6ZqU5YqFgYrVgYXRd0qs5ZaxmIEp-1aNcYWt9_XN-IHN60GVnIG-nIGtj2CB80rJmZWNoL7IgIa-9I8c7U9ZEZUs74SlvIbBj_Wto1mIuMCsmNSk70WVn1qFbZSIuI-RcZSBBV9VSQU2FIGZp0aNo_WxiIH261mBi0rQ52XN-ZCBa0rI52G6-IEFo2GViZGFiYqU5YqFgYrVgYXRd0qs7LCJdZCIuIaVKWUlsIbog3mJ</vt:lpwstr>
  </property>
  <property fmtid="{D5CDD505-2E9C-101B-9397-08002B2CF9AE}" pid="285" name="[YXNn_W2i0WVi2A]283:285">
    <vt:lpwstr>k0q-i2HM7O8AiM8UgIap-1rN6ZqU7O7JU_GU5QVZFU9FHRSBa2Wt82G-j07BrYXM50axoIHVnZWQ5ZaxmIHRcZSBQ1axb1aFh1mB8YWl82Wl62G-j07IgIa-9I8c70q-c1rQ74SlvIbBj_Wto1mIuMCsmNSk70WVn1qFbZSIuI-RcZSBBV9VSQU2FIGZp0aNo_WxiIH261mBi0rQ52XN-ZCBa0rI52G6-IEZj0qQ5YqFgYrVgYXRd0qs7LCJdZC</vt:lpwstr>
  </property>
  <property fmtid="{D5CDD505-2E9C-101B-9397-08002B2CF9AE}" pid="286" name="[YXNn_W2i0WVi2A]284:286">
    <vt:lpwstr>IuI-FYUb6gIbog3mJk0q-i2HM7O8AiM8UgIap-1rN6ZqU7O7JU_GU5QVZFU9FHRSBa2Wt82G-j07BrYXM50axoIHVnZWQ5ZaxmIHRcZSBNZXJ8_GFiZG-nZSB8YWl82Wl62G-j07IgIa-9I8c7_G2f2XI74VogIb6h0G-9I8c7YW9m0nA7LCJc_WtoI8c7RXZ-0bQ5UHJjZa-o4E9qO9kqI7k70aFhZSIuI9FqZXJ6ZqVnI7k7_WQ7O7J8WHZ_W</vt:lpwstr>
  </property>
  <property fmtid="{D5CDD505-2E9C-101B-9397-08002B2CF9AE}" pid="287" name="[YXNn_W2i0WVi2A]285:287">
    <vt:lpwstr>SIgIbR-3HQ7O7JJ07Bo_GU5XCJJ0bBp2CBB0aFg3XNd1pk7IHN-YrRd0qs50qY52G6-IHNk1aV6ZHNcZWVoIGpjZGVgLCB8YWl82Wl62GU52G6-IGFqZXJ6ZqU5YXRoZWt9YWt8ZSB60aQ51qFgZXM5ZaxmIGV6Yq552H-kZSBjZ7Bk1ax92WNoIGZm0qo52G6-IHB61rQ5ZXZ-0bRnIGld1rR-ZCBd07Bo_GU5XCJQYXNoIEVqZWto1pk7IH2j</vt:lpwstr>
  </property>
  <property fmtid="{D5CDD505-2E9C-101B-9397-08002B2CF9AE}" pid="288" name="[YXNn_W2i0WVi2A]286:288">
    <vt:lpwstr>1ahn_GV-2Cs5Ibog3mJm2Wl-1mIuWrg71Gxd0bRnI8clLCJhZXNnYW2-I8c7VG6-IHNoYWt9YXJ9IGR-2a-62G-j07B8YWl82Wl62G-j07Ba0rI5QXRoZWt9YWt8ZSBd1mBi0rQ5Yqxm1aV82Cs7LCJdZCIuI-Br0bNCIbog3mJk0q-i2HM7O8EgIap-1rN6ZqU7O7JU_GU51rR60aR61aQ5ZGVq_WFo_WxiIGN60GNp0GFo_WxiIGZj17BQ1ax</vt:lpwstr>
  </property>
  <property fmtid="{D5CDD505-2E9C-101B-9397-08002B2CF9AE}" pid="289" name="[YXNn_W2i0WVi2A]287:289">
    <vt:lpwstr>b1aFhIHN60GVnIG-nIGtj2CB80rJmZWNoL7IgIa-9I8c7RVRiRo174SlvIbBj_Wto1mIuMSk70WVn1qFbZSIuI-RcZSBn2GFiZGFmZCB9ZXZdYXRd0qs5YqFgYrVgYXRd0qs5ZaxmIEZj0qQ51qFgZXM5_XM50axoIGNj1bJ-YrQiI7k7_WQ7O7JU0GZB1mJxLHg71Gxd0bRnI8clLCJhZXNnYW2-I8c7VG6-IHNoYWt9YXJ9IGR-2a-62G-j07</vt:lpwstr>
  </property>
  <property fmtid="{D5CDD505-2E9C-101B-9397-08002B2CF9AE}" pid="290" name="[YXNn_W2i0WVi2A]288:290">
    <vt:lpwstr>B8YWl82Wl62G-j07Ba0rI5TWVmYq660aRd1qU51qFgZXM5_XM50axoIGNj1bJ-YrQiI7k7_WQ7O7J81Eln3CJxLHg71Gxd0bRnI8ckL8IpLCJhZXNnYW2-I8c7VG6-IGFk1HJj1HJdYXR-IHNoYWt9YXJ9IGR-2a-62G-j07Ba2Wt82G-j07BrYXM50axoIHVnZWQ5ZaxmIHRcZSBB2HR-0aR60aN-IGN60GNp0GFo_WxiI7k7_WQ7O7J_THFdT</vt:lpwstr>
  </property>
  <property fmtid="{D5CDD505-2E9C-101B-9397-08002B2CF9AE}" pid="291" name="[YXNn_W2i0WVi2A]289:291">
    <vt:lpwstr>mJxLHg71Gxd0bRnI8ckL8IpLCJhZXNnYW2-I8c7VG6-IGFk1HJj1HJdYXR-IHNoYWt9YXJ9IGR-2a-62G-j07Ba2Wt82G-j07BrYXM50axoIHVnZWQ5ZaxmIHRcZSBQ1axb1aFh1mB8YWl82Wl62G-j07IgIa-9I8c7TGtIUVI74SlvIbBj_Wto1mIuMCsmNSk70WVn1qFbZSIuI-RcZSB61HBm0rBm_WFoZSBn2GFiZGFmZCB9ZXZdYXRd0qs5</vt:lpwstr>
  </property>
  <property fmtid="{D5CDD505-2E9C-101B-9397-08002B2CF9AE}" pid="292" name="[YXNn_W2i0WVi2A]290:292">
    <vt:lpwstr>ZbViYrRd0qs52qFnIGtj2CBp1qV9IGZj17Bo_GU5RaxjZCB8YWl82Wl62G-j07IgIa-9I8c7VX6o_9o74SlvIbBj_Wto1mIuMCsmNSk70WVn1qFbZSIuI-RcZSB61HBm0rBm_WFoZSBn2GFiZGFmZCB9ZXZdYXRd0qs5ZbViYrRd0qs52qFnIGtj2CBp1qV9IGZj17Bo_GU5TWVmYq660aRd1qU5YqFgYrVgYXRd0qs7LCJdZCIuI92CZqVSIbp</vt:lpwstr>
  </property>
  <property fmtid="{D5CDD505-2E9C-101B-9397-08002B2CF9AE}" pid="293" name="[YXNn_W2i0WVi2A]291:293">
    <vt:lpwstr>2LCJs0WldZCIuIaFdMawkI7k7_G-i2CIuI9VqZWtoIFBm0qZd2HlJNndMNmIgIat60WU7O7JT2GFiZGFmZCBEZXZdYXRd0qtnI7k7_WQ7O7Jn0qZJUCIgIbR-3HQ7O7JJ07Bo_GU5XCJJ0bBp2CBB0aFg3XNd1pk7IHN-YrRd0qs50qY52G6-IHNk1aV6ZHNcZWVoIGpjZGVgLCB8YWl82Wl62GU52G6-IHN60XBgZSBn2GFiZGFmZCB9ZXZdYX</vt:lpwstr>
  </property>
  <property fmtid="{D5CDD505-2E9C-101B-9397-08002B2CF9AE}" pid="294" name="[YXNn_W2i0WVi2A]292:294">
    <vt:lpwstr>Rd0qs5ZaxmIGFo2GViZGFiYqU5YWt9IHN60GVnIGZj17B-YWNcIHRt1GU50qY51HJjZHV82CBa1axhIHRcZSBkYXNoIGVqZWto1mBg_XNoZWQ50qs52G6-IFk7UGFn2CBF2aVi2HN1I7Br0rJf1q6-ZXQiIC6O0rR-IGZj17BF3GN-0CAmMDArIHVnZXJnO7BF3GN-0CAmMDArIGRjZXM50axoIHNp1HBj1bQ5YSBn1GV8_WZdYmBa2Wt82G-j0</vt:lpwstr>
  </property>
  <property fmtid="{D5CDD505-2E9C-101B-9397-08002B2CF9AE}" pid="295" name="[YXNn_W2i0WVi2A]293:295">
    <vt:lpwstr>7Bo0mB8YWl82Wl62GU51qFh1Gl-IHNoYWt9YXJ9IGR-2a-62G-j0bMiIFVnZSBo_GU5UpRERVY5ZbViYrRd0qs5_Wtn2GV6ZCsdIbog3mJm2Wl-1mIuWrg71Gxd0bRnI8clLCJhZXNnYW2-I8c7VG6-IGNj0aZdZGViYqU5_WtoZXJqYWk5YqFgYrVgYXRd0qs5ZaxmIFBm0q2mYWo51qFgZXM5_XM50axoIGNj1bJ-YrQiI7k7_WQ7O7JMRpZd</vt:lpwstr>
  </property>
  <property fmtid="{D5CDD505-2E9C-101B-9397-08002B2CF9AE}" pid="296" name="[YXNn_W2i0WVi2A]294:296">
    <vt:lpwstr>1SJxLHg71Gxd0bRnI8clLCJhZXNnYW2-I8c7VG6-IGNj0aZdZGViYqU5_WtoZXJqYWk5YqFgYrVgYXRd0qs5ZaxmIEZj0qQ51qFgZXM5_XM50axoIGNj1bJ-YrQiI7k7_WQ7O7JHTGVMR7JxLHg71Gxd0bRnI8clLCJhZXNnYW2-I8c7VG6-IGNj0aZdZGViYqU5_WtoZXJqYWk5YqFgYrVgYXRd0qs5ZaxmIEp-1aNcYWt9_XN-IHN60GVnIG-</vt:lpwstr>
  </property>
  <property fmtid="{D5CDD505-2E9C-101B-9397-08002B2CF9AE}" pid="297" name="[YXNn_W2i0WVi2A]295:297">
    <vt:lpwstr>nIGtj2CB80rJmZWNoL7IgIa-9I8c7YWRN2F574SlvIbBj_Wto1mIuMCsqLCJhZXNnYW2-I8c7VG6-IGZp0aNo_WxiIHVnZWQ5ZaxmIHRcZSBQ1axb1aFh1mBDYWl82Wl62G-j07Bd1mBd0aNj1bJ-YrQ7LCJdZCIuIalrTrd9Ibog3mJk0q-i2HM7O8AiNmk70WVn1qFbZSIuI-RcZSBa2Wt82G-j07Bp1qV9IGZj17Bo_GU5RaxjZCBDYWl82W</vt:lpwstr>
  </property>
  <property fmtid="{D5CDD505-2E9C-101B-9397-08002B2CF9AE}" pid="298" name="[YXNn_W2i0WVi2A]296:298">
    <vt:lpwstr>l62G-j07Bd1mBd0aNj1bJ-YrQ7LCJdZCIuI-FFREp6Ibog3mJk0q-i2HM7O8AiNmk70WVn1qFbZSIuI-RcZSBa2Wt82G-j07Bp1qV9IGZj17Bo_GU5TWVmYq660aRd1qU5QqFgYrVgYXRd0qs5_XM5_Wt80rJmZWNoI7k7_WQ7O7JHRqZpTCJxXSk73Gpg_WQ7O7JkZTBj_SIgIa6d0bQ7O7JF2aVi2CBQ1axa_XRwS85uTD57LCJiYWp-I8c7Q</vt:lpwstr>
  </property>
  <property fmtid="{D5CDD505-2E9C-101B-9397-08002B2CF9AE}" pid="299" name="[YXNn_W2i0WVi2A]297:299">
    <vt:lpwstr>qxiZa-9ZWt8ZSBJ0bR-1bZ60HM7LCJdZCIuIapBRUZ8I7k72GVs2CIuI9-iIHRcZSB1I9-i1HVoIEFiYWlt1q-nXCI51qV82G-j07BjZ7Bo_GU51rBmZWF91q6-ZXQ50Wx9ZWkgIGN60GNp0GFoZSBo_GU5OTU-IGNj0aZdZGViYqU5_WtoZXJqYWk5ZaxmIHRcZSBnYWl-1mBa0rI5ZWF8_CBo3XB-IGxaIHBm0qRpYrQiIC6Z0rU52q-g0CBi</vt:lpwstr>
  </property>
  <property fmtid="{D5CDD505-2E9C-101B-9397-08002B2CF9AE}" pid="300" name="[YXNn_W2i0WVi2A]298:300">
    <vt:lpwstr>0rQ5YqFgYrVgYXR-IGE5YqxiZa-9ZWt8ZSBd0bR-1bZ60CBa0rI5YXRoZWt9YWt8ZSsdIFVnZSBo_GU50bVhYaVmIGxaIGVqZWto1mAcYqFgYrVgYXR-ZCBd07B8ZWlgIE9nKSB61mBkYXJoIGxaIH-j2XI5YqFgYrVgYXRd0qtnL7AcTaxoZSBo0mBF3GN-0CAmMDArIHVnZXJnO7Bo_GU5QoxOR9-ERUtDRStOTpJNIGZp0aNo_WxiIG-nIGt</vt:lpwstr>
  </property>
  <property fmtid="{D5CDD505-2E9C-101B-9397-08002B2CF9AE}" pid="301" name="[YXNn_W2i0WVi2A]299:301">
    <vt:lpwstr>j2CBn2XBk0rJoZWQ5_Ws5RX68ZWk5M8AkNms5VXN-IHRcZSBDTotGSURFT9NFIGZp0aNo_WxiIG-i1rR-YWQiKSJxLHg71bVgZXM7O-hvIbBj_Wto1mIuMmk70WVn1qFbZSIuI-RcZSB80rJmZWl62G-j07B7ZXRrZWViIFBm0q2mYWo5UqFgZXM5YWt9IEFo2GViZGFiYqU5_XM50axoIGNj1bJ-YrQ7LCJdZCIuI-NSUUxbIbog3mJk0q-i2H</vt:lpwstr>
  </property>
  <property fmtid="{D5CDD505-2E9C-101B-9397-08002B2CF9AE}" pid="302" name="[YXNn_W2i0WVi2A]300:302">
    <vt:lpwstr>M7O8MgIap-1rN6ZqU7O7JU_GU5Yqxm1aVgYXRd0qs5YaVo2qV-07BG0qx9IFN60GVnIGFiZCBB2HR-0aR60aN-IG-nIGtj2CB80rJmZWNoI7k7_WQ7O7JE0qFiRmJxLHg71Gxd0bRnI8cmLCJhZXNnYW2-I8c7VG6-IGNj1bJ-0GFo_WxiIGJ-2H2-ZWs5TWVmYq660aRd1qU5UqFgZXM5YWt9IEFo2GViZGFiYqU5_XM50axoIGNj1bJ-YrQ7L</vt:lpwstr>
  </property>
  <property fmtid="{D5CDD505-2E9C-101B-9397-08002B2CF9AE}" pid="303" name="[YXNn_W2i0WVi2A]301:303">
    <vt:lpwstr>CJdZCIuI-Fm2-VlIbog3mJk0q-i2HM7O8EgIap-1rN6ZqU7O7JU_GU5QoxSU9VMIGZp0aNo_WxiIG-nIGtj2CBp1qV9IGZj17Bo_GU5UHJjZrJ60XM5YqFgYrVgYXRd0qs7LCJdZCIuI9NI1E6aIbog3mJk0q-i2HM7O8EgIap-1rN6ZqU7O7JU_GU5QoxSU9VMIGZp0aNo_WxiIG-nIGtj2CBp1qV9IGZj17Bo_GU5RaxjZCB8YWl82Wl62G-j</vt:lpwstr>
  </property>
  <property fmtid="{D5CDD505-2E9C-101B-9397-08002B2CF9AE}" pid="304" name="[YXNn_W2i0WVi2A]302:304">
    <vt:lpwstr>07IgIa-9I8c7QWFN0EE74SlvIbBj_Wto1mIuMSk70WVn1qFbZSIuI-RcZSBDTpJSRUk5ZbViYrRd0qs5_XM50axoIHVnZWQ5ZaxmIHRcZSBNZXJ8_GFiZG-nZSB8YWl82Wl62G-j07IgIa-9I8c7ZV6EU9974VogIb6h0G-9I8c71GUk0q97LCJc_WtoI8c7RXZ-0bQ5UHJjZa-o4E9lMTdLMTE7LCJiYWp-I8c7Qqxm1aVgYXRd0qtnI7k7_WQ</vt:lpwstr>
  </property>
  <property fmtid="{D5CDD505-2E9C-101B-9397-08002B2CF9AE}" pid="305" name="[YXNn_W2i0WVi2A]303:305">
    <vt:lpwstr>7O7JHUqph2CIgIbR-3HQ7O7JJ07Bo_GU5XCJJ0bBp2CBB0aFg3XNd1pk7IHN-YrRd0qs50qY52G6-IHNk1aV6ZHNcZWVoIGpjZGVgLCB8YWl82Wl62GU52G6-IGNj1bJ-0GFo_Wxi1mB7ZXRrZWViIHRcZSBnYWl-1mBjZ7B-YWNcIHRt1GU50qY51HJjZHV82CB60aQ5ZXZ-0bQ5YXRoZWt9YWt8ZSs5VXN-IGFk1HJj1HJdYXR-IHJ60a2-1m</vt:lpwstr>
  </property>
  <property fmtid="{D5CDD505-2E9C-101B-9397-08002B2CF9AE}" pid="306" name="[YXNn_W2i0WVi2A]304:306">
    <vt:lpwstr>Ba1axhIHRcZSB1I-B61rQ5RXZ-0bR1I7Br0rJf1q6-ZXQ5ZaxmIH-j2XI5YqFgYrVgYXRd0qtnL7JxLHg71bVgZXM7O-hvIbBj_Wto1mIuMSk70WVn1qFbZSIuI--j2XI5YWtn2qVmIGZj17Bl2WVn2G-j07AlIG-nIGtj2CB80rJmZWNoL7IgIa-9I8c7UaVbU9o74VogIb6h0G-9I8c71GUk0q97LCJc_WtoI8c7RXZ-0bQ5UHJjZa-o4EknM</vt:lpwstr>
  </property>
  <property fmtid="{D5CDD505-2E9C-101B-9397-08002B2CF9AE}" pid="307" name="[YXNn_W2i0WVi2A]305:307">
    <vt:lpwstr>7lJMTEuSnElI7k70aFhZSIuI-FpZXNo_WxiIDE5LSBD0rJmZWl62G-j0bM7LCJdZCIuIa6lUWdKI7k72GVs2CIuI-RcZSBnYWl-1mBa0rI52q6dYq551HJjZHV82CBo3XB-IGFmZSBh0rNoIG6dZq6g3SB80rJmZWl62GV9IH2d2G55YXRoZWt9YWt8ZTw5UqVgZWNoIHRcZSB80rJmZWNoIGFi1r2-17Ba1axhIHRcZSB91axkLWRj2qs50G-n</vt:lpwstr>
  </property>
  <property fmtid="{D5CDD505-2E9C-101B-9397-08002B2CF9AE}" pid="308" name="[YXNn_W2i0WVi2A]306:308">
    <vt:lpwstr>2CBd07B8ZWlgIEknM7s74SlvIbJp0GVnI8d03mJk0q-i2HM7O8AiNSk70WVn1qFbZSIuI-RcZSBa0rJ-YqFn2CBa0rI5UHJjZrJ60SBTYWl-1mBd1mBi0rQ5Yqxm1aV82CIgIa-9I8c73VROQpQ74SlvIbBj_Wto1mIuMCspLCJhZXNnYW2-I8c7VG6-IGZj1aV8YXNoIGZj17BG0qx9IFN60GVnIG-nIGtj2CB80rJmZWNoI7k7_WQ7O7JC0a-</vt:lpwstr>
  </property>
  <property fmtid="{D5CDD505-2E9C-101B-9397-08002B2CF9AE}" pid="309" name="[YXNn_W2i0WVi2A]307:309">
    <vt:lpwstr>aUCJxLHg71Gxd0bRnI8ckL8UgIap-1rN6ZqU7O7JU_GU5ZaxmZWN61rQ5ZaxmIEp-1aNcYWt9_XN-IFN60GVnIG-nIGtj2CB80rJmZWNoI7k7_WQ7O7Ja0pFSVmJxLHg71Gxd0bRnI8ckL8UgIap-1rN6ZqU7O7JB07B61HBm0rBm_WFoZSBa2Wt82G-j07Bd1mBi0rQ52XN-ZCBo0mB8YWl82Wl62GU5YSBa0rJ-YqFn2CBa0rI5UHJjZrJ60X</vt:lpwstr>
  </property>
  <property fmtid="{D5CDD505-2E9C-101B-9397-08002B2CF9AE}" pid="310" name="[YXNn_W2i0WVi2A]308:310">
    <vt:lpwstr>M7LCJdZCIuIadCV9-bIbog3mJk0q-i2HM7O8AiNSk70WVn1qFbZSIuI9FiIGFk1HJj1HJdYXR-IGZp0aNo_WxiIG-nIGtj2CBp1qV9IHRjIGN60GNp0GFoZSB6IGZj1aV8YXNoIGZj17BG0qx9I7k7_WQ7O7JZVotL1SJxLHg71Gxd0bRnI8ckL8UgIap-1rN6ZqU7O7JB07B61HBm0rBm_WFoZSBa2Wt82G-j07Bd1mBi0rQ52XN-ZCBo0mB8Y</vt:lpwstr>
  </property>
  <property fmtid="{D5CDD505-2E9C-101B-9397-08002B2CF9AE}" pid="311" name="[YXNn_W2i0WVi2A]309:311">
    <vt:lpwstr>Wl82Wl62GU5YSBa0rJ-YqFn2CBa0rI5TWVmYq660aRd1qU7LCJdZCIuIaRQ2V6bIbog3mJk0q-i2HM7O8AiNSk70WVn1qFbZSIuI-RcZSBYIGFmZrVhZWtoIGZj17Bo_GU5UHJjZrJ60XM5YqFgYrVgYXRd0qs5_XM50axoIGNj1bJ-YrQiI7k7_WQ7O7JG2G2q_mJxLHg71Gxd0bRnI8ckL8UgIap-1rN6ZqU7O7JU_GU5WCB61a2p0WVi2CBa</vt:lpwstr>
  </property>
  <property fmtid="{D5CDD505-2E9C-101B-9397-08002B2CF9AE}" pid="312" name="[YXNn_W2i0WVi2A]310:312">
    <vt:lpwstr>0rI52G6-IEZj0qQ5YqFgYrVgYXRd0qs5_XM50axoIGNj1bJ-YrQiI7k7_WQ7O7J_V9REZ7JxLHg71Gxd0bRnI8ckL8UgIap-1rN6ZqU7O7JU_GU5WCB61a2p0WVi2CBa0rI52G6-IEp-1aNcYWt9_XN-IGN60GNp0GFo_WxiIG-nIGtj2CB80rJmZWNoL7IgIa-9I8c7SGdt1XM74SlvIbBj_Wto1mIuMCspLCJhZXNnYW2-I8c7VG6-IGhi0r2</vt:lpwstr>
  </property>
  <property fmtid="{D5CDD505-2E9C-101B-9397-08002B2CF9AE}" pid="313" name="[YXNn_W2i0WVi2A]311:313">
    <vt:lpwstr>iXr9b1mB61a2p0WVi2CBa0rI52G6-IFBm0q2mYWpnIGN60GNp0GFo_WxiIG-nIGtj2CB80rJmZWNoI7k7_WQ7O7JWY9pa2CJxLHg71Gxd0bRnI8ckL8UgIap-1rN6ZqU7O7JU_GU5_qtj2qt43S2nIGFmZrVhZWtoIGZj17Bo_GU5RaxjZCB8YWl82Wl62G-j07Bd1mBi0rQ5Yqxm1aV82CIgIa-9I8c7SWxsSGo74SlvIbBj_Wto1mIuMCspLC</vt:lpwstr>
  </property>
  <property fmtid="{D5CDD505-2E9C-101B-9397-08002B2CF9AE}" pid="314" name="[YXNn_W2i0WVi2A]312:314">
    <vt:lpwstr>JhZXNnYW2-I8c7VG6-IGhi0r2iXr9b1mB61a2p0WVi2CBa0rI52G6-IEp-1aNcYWt9_XN-IGN60GNp0GFo_WxiIG-nIGtj2CB80rJmZWNoI7k7_WQ7O7Jj1rROTSJxLHg71Gxd0bRnI8ckL8UgIap-1rN6ZqU7O7JU_GU5_qtj2qt43C2nIGFmZrVhZWtoIGZj17Bo_GU5UHJjZrJ60XM5YqFgYrVgYXRd0qs5_XM50axoIGNj1bJ-YrQ7LCJdZ</vt:lpwstr>
  </property>
  <property fmtid="{D5CDD505-2E9C-101B-9397-08002B2CF9AE}" pid="315" name="[YXNn_W2i0WVi2A]313:315">
    <vt:lpwstr>CIuI-BC1ql8Ibog3mJk0q-i2HM7O8AiM8UgIap-1rN6ZqU7O7JU_GU5_qtj2qt43C2nIGFmZrVhZWtoIGZj17Bo_GU5RaxjZCB8YWl82Wl62G-j07Bd1mBi0rQ5Yqxm1aV82CIgIa-9I8c7QUpqVFM74SlvIbBj_Wto1mIuMCsmNSk70WVn1qFbZSIuI-RcZSBf0axr0-xsJrM5YXJb2Wp-0bQ5ZaxmIHRcZSBNZXJ8_GFiZG-nZSB8YWl82Wl6</vt:lpwstr>
  </property>
  <property fmtid="{D5CDD505-2E9C-101B-9397-08002B2CF9AE}" pid="316" name="[YXNn_W2i0WVi2A]314:316">
    <vt:lpwstr>2G-j07Bd1mBi0rQ5Yqxm1aV82CIgIa-9I8c7TGRkTqU74VogIb6h0G-9I8c71GUk0q97LCJc_WtoI8c7RXZ-0bQ5UHJjZa-o4E9lN8dLMTY7LCJiYWp-I8c7RaxmZWN61rRnI7k7_WQ7O7JMWXFo37IgIbR-3HQ7O7JJ07Bo_GU5XCJJ0bBp2CBB0aFg3XNd1pk7IHN-YrRd0qs50qY52G6-IHNk1aV6ZHNcZWVoIGpjZGVgLCB8YWl82Wl62GU</vt:lpwstr>
  </property>
  <property fmtid="{D5CDD505-2E9C-101B-9397-08002B2CF9AE}" pid="317" name="[YXNn_W2i0WVi2A]315:317">
    <vt:lpwstr>5YSBnYWl-1mBa0rJ-YqFn2CBa0rI5ZWF8_CBo3XB-IGxaIHBm0qRpYrQ5_WY5ZX6kZWNoZWQ5YXRoZWt9YWt8ZSB62CBo_GU5ZbVo2XJ-IGVqZWtoIG-nIDEsMDAkIHB-0rBgZSs5UaVaZXJ-0aN-IGN-0Gk5STEnIC6o_GU5YXRoZWt9YWt8ZSBa0rJ-YqFn2C95ZaxmIH-j2XI5YqFgYrVgYXRd0qtnL7JxLHg71bVgZXM7O-hvIbBj_Wto1m</vt:lpwstr>
  </property>
  <property fmtid="{D5CDD505-2E9C-101B-9397-08002B2CF9AE}" pid="318" name="[YXNn_W2i0WVi2A]316:318">
    <vt:lpwstr>IuMCspLCJhZXNnYW2-I8c7VG6-IHVk1GVmIGld0W-oIGZj17BQ1axb1aFhIFN60GVnIG-nIGtj2CB80rJmZWNoI7k7_WQ7O7JD1--j3CJxLHg71Gxd0bRnI8ckL8UgIap-1rN6ZqU7O7JU_GU52XBkZXI50G-h_XQ5ZaxmIEZj0qQ5UqFgZXM5_XM50axoIGNj1bJ-YrQ7LCJdZCIuI-NEQX2uIbog3mJk0q-i2HM7O8AiNSk70WVn1qFbZSIuI</vt:lpwstr>
  </property>
  <property fmtid="{D5CDD505-2E9C-101B-9397-08002B2CF9AE}" pid="319" name="[YXNn_W2i0WVi2A]317:319">
    <vt:lpwstr>-RcZSBp1HB-17Bg_Wpd2CBa0rI5TWVmYq660aRd1qU5UqFgZXM5_XM50axoIGNj1bJ-YrQ7LCJdZCIuIbFVWFNrIbog3mJk1aVk1ax81mIuWrg71GFmYWpnI8c74C2F2aVi2CBQ1axa_XQbISRJJDEr4C2F2aVi2CBQ1axa_XQbIU9lN7k5S857LCJdZCIuI-FXWGFVI7k71HJjYqV92XJ-I8c7YqVg0HNSZWZ-1aViYqV9SWtG0rJh2Wl6Ibp2</vt:lpwstr>
  </property>
  <property fmtid="{D5CDD505-2E9C-101B-9397-08002B2CF9AE}" pid="320" name="[YXNn_W2i0WVi2A]318:320">
    <vt:lpwstr>LCJk0q-i2HM7O8AiNSk70WVn1qFbZSIuI-RcZSBQ1axb1aFh1mBa0rJh2Wl6IGRjZXM50axoIHJ-ZaVmZWt8ZSBo_GU5Yqxm1aV82CB8ZWlg1mIgIa-9I8c71G2iVaM74SlvIbBmZXBm0qNnI8d03mJkYXJ60XM7O7JwJoVqZWtoIFBm0qZd2C16JEc9MT2wJoVqZWtoIFBm0qZd2C16S8EqLCBLOCIgIa-9I8c72pRV3Us7LCJk1ax8ZWRp1aU</vt:lpwstr>
  </property>
  <property fmtid="{D5CDD505-2E9C-101B-9397-08002B2CF9AE}" pid="321" name="[YXNn_W2i0WVi2A]319:321">
    <vt:lpwstr>7O7J8ZWlg1pJ-ZaVmZWt8ZWRJ09Zj1app0GE74VogIbBj_Wto1mIuMCspLCJhZXNnYW2-I8c7VG6-IEZj0qQ5Zaxm0XVgYSB90qVnIGtj2CBmZWZ-1aViYqU52G6-IGNj1bJ-YrQ5YqVg0HM7LCJdZCIuIalNWahkIbog3mJk1aVk1ax81mIuWrg71GFmYWpnI8c74C2F2aVi2CBQ1axa_XQbISRLJDEr4C2F2aVi2CBQ1axa_XQbIUglN7k5TD</vt:lpwstr>
  </property>
  <property fmtid="{D5CDD505-2E9C-101B-9397-08002B2CF9AE}" pid="322" name="[YXNn_W2i0WVi2A]320:322">
    <vt:lpwstr>57LCJdZCIuIad63H-RI7k71HJjYqV92XJ-I8c7YqVg0HNSZWZ-1aViYqV9SWtG0rJh2Wl6Ibp2LCJk0q-i2HM7O8AiNSk70WVn1qFbZSIuI-RcZSBNZXJ8_GFiZG-nZSBa0rJh2Wl6IGRjZXM50axoIHJ-ZaVmZWt8ZSBo_GU5Yqxm1aV82CB8ZWlg1mIgIa-9I8c7UqJ9_X574VogIb6h0G-9I8c71GUk0q97LCJc_WtoI8c7RXZ-0bQ5UHJjZ</vt:lpwstr>
  </property>
  <property fmtid="{D5CDD505-2E9C-101B-9397-08002B2CF9AE}" pid="323" name="[YXNn_W2i0WVi2A]321:323">
    <vt:lpwstr>a-o4E9lNndLMT17LCJiYWp-I8c7VXBkZXI5TG-h_XRnI7k7_WQ7O7JWV9tQ37IgIbR-3HQ7O7JJ07Bo_GU5XCJJ0bBp2CBB0aFg3XNd1pk7IHN-YrRd0qs50qY52G6-IHNk1aV6ZHNcZWVoIGpjZGVgLCB8YWl82Wl62GU52G6-IHVk1GVmIGld0W-oIGZj17Bt0rVmIHN60GVnIGZj1aV8YXNoIGZj17B-YWNcIHRt1GU50qY51HJjZHV82CBd</vt:lpwstr>
  </property>
  <property fmtid="{D5CDD505-2E9C-101B-9397-08002B2CF9AE}" pid="324" name="[YXNn_W2i0WVi2A]322:324">
    <vt:lpwstr>Z7B-3HB-YrR-ZCB62HR-0aR60aN-IGFoIHRcZSBa2XRp1aU5ZXZ-0bQ5_XM5MT5kMDA51GVj1Gl-L7BSZWZ-1aViYqU52G6-IGNj0aZdZGViYqU5_WtoZXJqYWk53WxpIGNmZWFoZWQ5ZaxmIH-j2XI5YqFgYrVgYXRd0qsiIbog3mJm2Wl-1mIuWrg71Gxd0bRnI8ckL8UgIap-1rN6ZqU7O7JU_GU50GxrZXI50G-h_XQ5ZaxmIFBm0q2mYWo</vt:lpwstr>
  </property>
  <property fmtid="{D5CDD505-2E9C-101B-9397-08002B2CF9AE}" pid="325" name="[YXNn_W2i0WVi2A]323:325">
    <vt:lpwstr>5UqFgZXM5_XM50axoIGNj1bJ-YrQ7LCJdZCIuI9te2V2JIbog3mJk0q-i2HM7O8AiNSk70WVn1qFbZSIuI-RcZSBg0r2-17Bg_Wpd2CBa0rI5RaxjZCBTYWl-1mBd1mBi0rQ5Yqxm1aV82CIgIa-9I8c7UEVSQUU74SlvIbBj_Wto1mIuMCspLCJhZXNnYW2-I8c7VG6-IGlj2qVmIGld0W-oIGZj17BNZXJ8_GFiZG-nZSBTYWl-1mBd1mBi0r</vt:lpwstr>
  </property>
  <property fmtid="{D5CDD505-2E9C-101B-9397-08002B2CF9AE}" pid="326" name="[YXNn_W2i0WVi2A]324:326">
    <vt:lpwstr>Q5Yqxm1aV82CIgIa-9I8c72UVs0Ek74SlvIbBmZXBm0qNnI8d03mJkYXJ60XM7O7JwJoVqZWtoIFBm0qZd2C16JE99MT6wJoVqZWtoIFBm0qZd2C16STEqLCBKOCIgIa-9I8c7VX2tTXQ7LCJk1ax8ZWRp1aU7O7J8ZWlg1pJ-ZaVmZWt8ZWRJ09Zj1app0GE74VogIbBj_Wto1mIuMCspLCJhZXNnYW2-I8c7VG6-IFBm0q2mYWpnIGZj1app0</vt:lpwstr>
  </property>
  <property fmtid="{D5CDD505-2E9C-101B-9397-08002B2CF9AE}" pid="327" name="[YXNn_W2i0WVi2A]325:327">
    <vt:lpwstr>GE5ZGx-1mBi0rQ51aVaZXJ-0aN-IHRcZSB80rJmZWNoIGN-0GlnI7k7_WQ7O7JsU9V8V7JxLHg71HJ-1HJjYrM7O-hvIbB61aFh1mIuIbkbRXZ-0bQ5UHJjZa-oJmE9S7QlOHkbRXZ-0bQ5UHJjZa-oJmFKMTYgIEgsI7k7_WQ7O7Jh3UhcSmIgIbBm0qN-ZHVmZSIuIaN-0GlnUaVaZXJ-0aN-ZE-iRaxm0XVgYSJxXSk71Gxd0bRnI8ckL8Ug</vt:lpwstr>
  </property>
  <property fmtid="{D5CDD505-2E9C-101B-9397-08002B2CF9AE}" pid="328" name="[YXNn_W2i0WVi2A]326:328">
    <vt:lpwstr>Iap-1rN6ZqU7O7JU_GU5RaxjZCBa0rJh2Wl6IGRjZXM50axoIHJ-ZaVmZWt8ZSBo_GU5Yqxm1aV82CB8ZWlg1mIgIa-9I8c71qV91VY74SlvIbBmZXBm0qNnI8d03mJkYXJ60XM7O7JwJoVqZWtoIFBm0qZd2C16JEg9MT6wJoVqZWtoIFBm0qZd2C16SnEqLCBMOCIgIa-9I8c7TU-SU-17LCJk1ax8ZWRp1aU7O7J8ZWlg1pJ-ZaVmZWt8ZWR</vt:lpwstr>
  </property>
  <property fmtid="{D5CDD505-2E9C-101B-9397-08002B2CF9AE}" pid="329" name="[YXNn_W2i0WVi2A]327:329">
    <vt:lpwstr>J09Zj1app0GE74VogIbBj_Wto1mIuMCspLCJhZXNnYW2-I8c7VG6-IEp-1aNcYWt9_XN-IGZj1app0GE5ZGx-1mBi0rQ51aVaZXJ-0aN-IHRcZSB80rJmZWNoIGN-0GlnI7k7_WQ7O7JMRWJNWSJxXSk73Gpg_WQ7O7JkZTBj_SIgIa6d0bQ7O7JF2aVi2CBQ1axa_XRwSTEsO9glOCIgIat60WU7O7JM0r2-17BM_Wpd2HM7LCJdZCIuI96sZH</vt:lpwstr>
  </property>
  <property fmtid="{D5CDD505-2E9C-101B-9397-08002B2CF9AE}" pid="330" name="[YXNn_W2i0WVi2A]328:330">
    <vt:lpwstr>ZEI7k72GVs2CIuI9-iIHRcZSB1I9-i1HVoIEFiYWlt1q-nXCI51qV82G-j07BjZ7Bo_GU51rBmZWF91q6-ZXQ50Wx9ZWkgIGN60GNp0GFoZSBo_GU50GxrZXI50G-h_XQ5ZaxmIH-j2XI51qFgZXM5ZaxmZWN61rQ5ZaxmIGV6Yq552H-kZSBjZ7Bk1ax92WNoIG-aIGVs1GV82GV9IGFo2GViZGFiYqU5YXQ52G6-IGZp2HVmZSB-2aVi2CBd1</vt:lpwstr>
  </property>
  <property fmtid="{D5CDD505-2E9C-101B-9397-08002B2CF9AE}" pid="331" name="[YXNn_W2i0WVi2A]329:331">
    <vt:lpwstr>mAlODAkMCBkZWxk0GUiIFJ-ZaVmZWt8ZSBo_GU5YqxiZa-9ZWt8ZSBd0bR-1bZ60CBt0rU5YrJ-YXR-ZCBa0rI53Wxp17B8YWl82Wl62G-j07s74SlvIbJp0GVnI8d03mJk0q-i2HM7O8EgIap-1rN6ZqU7O7JZ0rVmIHJ-1rBj0bN-IHRjIHFpZXNo_WxiIDI5_XM50axoIGNj1bJ-YrQiI7k7_WQ7O7J9UEdMSmJxXSk73Gpg_WQ7O7JkZTBj</vt:lpwstr>
  </property>
  <property fmtid="{D5CDD505-2E9C-101B-9397-08002B2CF9AE}" pid="332" name="[YXNn_W2i0WVi2A]330:332">
    <vt:lpwstr>_SIgIa6d0bQ7O7JF2aVi2CBQ1axa_XRwTDMpLE9lN8dLMT57LCJiYWp-I8c7UXV-1rRd0qs5M7AhIEZj0qQ5Qo97LCJdZCIuI96L_qthI7k72GVs2CIuI96j2mBg_Wh-0H95_XM5_XQ52G662CBa0qx9IHN60GVnIH2j2Wl9IGVsYqV-ZCA9M8IkLDAkMCBdZ7B62HR-0aR60aN-IG-nIDEsLDAkMCBkZWxk0GUzIFN-0GV82CBo_GU5Yqxm1aV</vt:lpwstr>
  </property>
  <property fmtid="{D5CDD505-2E9C-101B-9397-08002B2CF9AE}" pid="333" name="[YXNn_W2i0WVi2A]331:333">
    <vt:lpwstr>82CB60bNrZXI5ZbJj0SBo_GU5ZHJj1Cp90r2iIGld1rQ5_Ws5YqVg0CBMMnUiIbog3mJm2Wl-1mIuWrg71Gxd0bRnI8ckL8IgIap-1rN6ZqU7O7JU_GU51qFgZXM52aFg2WU5ZaxmIFBm0q2mYWpnIG-nIGtj2CB80rJmZWNoI7k7_WQ7O7JfYUZkQSJxLHg71Gxd0bRnI8ckL8IgIap-1rN6ZqU7O7JU_GU51qFgZXM52aFg2WU5ZaxmIEZj0q</vt:lpwstr>
  </property>
  <property fmtid="{D5CDD505-2E9C-101B-9397-08002B2CF9AE}" pid="334" name="[YXNn_W2i0WVi2A]332:334">
    <vt:lpwstr>Q5_XM50axoIGNj1bJ-YrQ7LCJdZCIuI-Rd19NZIbog3mJk0q-i2HM7O8AiM7k70WVn1qFbZSIuI-RcZSBnYWl-1mBqYWlpZSBa0rI5TWVmYq660aRd1qU5_XM50axoIGNj1bJ-YrQ7LCJdZCIuI9drYaNmIbog3mJk1aVk1ax81mIuWrg71GFmYWpnI8c74C2F2aVi2CBQ1axa_XQbISRDJDEp4C2F2aVi2CBQ1axa_XQbIU9lN7IgIa-9I8c71</vt:lpwstr>
  </property>
  <property fmtid="{D5CDD505-2E9C-101B-9397-08002B2CF9AE}" pid="335" name="[YXNn_W2i0WVi2A]333:335">
    <vt:lpwstr>r-ITaE7LCJk1ax8ZWRp1aU7O7J8ZWlg1pJ-ZaVmZWt8ZWRJ09Zj1app0GE74VogIbBj_Wto1mIuMCsmLCJhZXNnYW2-I8c7VG6-IGN-0Gk51aVaZXJ-0aN-IGZj17Bo_GU5UHJjZrJ60XM5YqFgYrVgYXRd0qs5_XM50axoIGNj1bJ-YrQiI7k7_WQ7O7J6SURf1mJxLHg71HJ-1HJjYrM7O-hvIbB61aFh1mIuIbkbRXZ-0bQ5UHJjZa-oJmE9</vt:lpwstr>
  </property>
  <property fmtid="{D5CDD505-2E9C-101B-9397-08002B2CF9AE}" pid="336" name="[YXNn_W2i0WVi2A]334:336">
    <vt:lpwstr>RCQlNXkbRXZ-0bQ5UHJjZa-oJmFKMTY7LCJdZCIuI-RY0EhjI7k71HJjYqV92XJ-I8c7YqVg0HNSZWZ-1aViYqV9SWtG0rJh2Wl6Ibp2LCJk0q-i2HM7O8AiMSk70WVn1qFbZSIuI-RcZSB8ZWlgIHJ-ZaVmZWt8ZSBa0rI52G6-IEZj0qQ5YqFgYrVgYXRd0qs5_XM50axoIGNj1bJ-YrQiI7k7_WQ7O7JsWaFI1SJxLHg71HJ-1HJjYrM7O-h</vt:lpwstr>
  </property>
  <property fmtid="{D5CDD505-2E9C-101B-9397-08002B2CF9AE}" pid="337" name="[YXNn_W2i0WVi2A]335:337">
    <vt:lpwstr>vIbB61aFh1mIuIbkbRXZ-0bQ5UHJjZa-oJmE9RSQlNXkbRXZ-0bQ5UHJjZa-oJmFLMTY7LCJdZCIuI9ZgZX28I7k71HJjYqV92XJ-I8c7YqVg0HNSZWZ-1aViYqV9SWtG0rJh2Wl6Ibp2LCJk0q-i2HM7O8AiMSk70WVn1qFbZSIuI-RcZSB8ZWlgIHJ-ZaVmZWt8ZSBa0rI52G6-IEp-1aNcYWt9_XN-IGN60GNp0GFo_WxiIG-nIGtj2CB80r</vt:lpwstr>
  </property>
  <property fmtid="{D5CDD505-2E9C-101B-9397-08002B2CF9AE}" pid="338" name="[YXNn_W2i0WVi2A]336:338">
    <vt:lpwstr>JmZWNoL7IgIa-9I8c72qllS-174VogIb6h0G-9I8c7TWx9ZWld0a2CYXNdYrMlI7k7_G-i2CIuI9VqZWtoIFBm0qZd2HlDMTUuRTEpI7k70aFhZSIuI-N60GVnI7k7_WQ7O7J9SUNeVSIgIbR-3HQ7O7JJ07Bo_GU5XCJF2aVi2CBQ1axa_XR6Ya-g_XRtIEFiYWlt1q-nXCI51qV82G-j07BjZ7Bo_GU50Wx9ZWkgIGVi2GVmIHRcZSBk1axeZ</vt:lpwstr>
  </property>
  <property fmtid="{D5CDD505-2E9C-101B-9397-08002B2CF9AE}" pid="339" name="[YXNn_W2i0WVi2A]337:339">
    <vt:lpwstr>WNoZWQ51qFgZXM5ZaxmIGV6Yq551HJjZHV82CBo3XB-IGZj17Bo_G-nIGVqZWtoIGJtIHJ-ZaVmZWt8_WtbIH-j2XI51qFgZXM5ZaxmZWN61rQ5ZbJj0SBo_GU5XCJJ0bBp2CBB0aFg3XNd1pk7IHN-YrRd0qs50qY52G6-IGpjZGVgL7JxLHg71bVgZXM7O-hvIbBj_Wto1mIuMCsmLCJhZXNnYW2-I8c7VG6-IENPRpM52aFg2WU5ZaxmIFBm</vt:lpwstr>
  </property>
  <property fmtid="{D5CDD505-2E9C-101B-9397-08002B2CF9AE}" pid="340" name="[YXNn_W2i0WVi2A]338:340">
    <vt:lpwstr>0q2mYWpnIG-nIGtj2CB80rJmZWNoI7k7_WQ7O7JV_GdlYmJxLHg71Gxd0bRnI8ckL8IgIap-1rN6ZqU7O7JU_GU5QoxHUmBqYWlpZSBa0rI5RaxjZCBd1mBi0rQ5Yqxm1aV82CIgIa-9I8c7WXFGVV974SlvIbBj_Wto1mIuMCsmLCJhZXNnYW2-I8c7VG6-IENPRpM52aFg2WU5ZaxmIEp-1aNcYWt9_XN-IG-nIGtj2CB80rJmZWNoI7k7_WQ</vt:lpwstr>
  </property>
  <property fmtid="{D5CDD505-2E9C-101B-9397-08002B2CF9AE}" pid="341" name="[YXNn_W2i0WVi2A]339:341">
    <vt:lpwstr>7O7JD3URnU7JxLHg71HJ-1HJjYrM7O-hvIbB61aFh1mIuIbkbRXZ-0bQ5UHJjZa-oJmE9QmQlNbkbRXZ-0bQ5UHJjZa-oJmFDMTUgIEMoI7k7_WQ7O7JiW9RX0mIgIbBm0qN-ZHVmZSIuIaN-0GlnUaVaZXJ-0aN-ZE-iRaxm0XVgYSJxXSk71Gxd0bRnI8ckL8IgIap-1rN6ZqU7O7JU_GU51aVaZXJ-0aN-1mBd07Bo_GU5UHJjZrJ60XM5Yq</vt:lpwstr>
  </property>
  <property fmtid="{D5CDD505-2E9C-101B-9397-08002B2CF9AE}" pid="342" name="[YXNn_W2i0WVi2A]340:342">
    <vt:lpwstr>FgYrVgYXRd0qs5YXJ-IGtj2CB80rJmZWNoL7IgIa-9I8c7RVRZVos74SlvIbBmZXBm0qNnI8d03mJkYXJ60XM7O7JwJoVqZWtoIFBm0qZd2C16JEQ9MTZwJoVqZWtoIFBm0qZd2C16RDEpLCBENCIgIa-9I8c7_rVeTUY7LCJk1ax8ZWRp1aU7O7J8ZWlg1pJ-ZaVmZWt8ZWRJ09Zj1app0GE74VogIbBj_Wto1mIuMCslLCJhZXNnYW2-I8c7V</vt:lpwstr>
  </property>
  <property fmtid="{D5CDD505-2E9C-101B-9397-08002B2CF9AE}" pid="343" name="[YXNn_W2i0WVi2A]341:343">
    <vt:lpwstr>G6-IHJ-ZaVmZWt8ZXM5_Ws52G6-IFBm0q2mYWpnIGN60GNp0GFo_WxiIGFmZSBi0rQ5Yqxm1aV82Cs7LCJdZCIuIadVRo6UIbog3mJk1aVk1ax81mIuWrg71GFmYWpnI8c74C2F2aVi2CBQ1axa_XQbISRFJDEq4C2F2aVi2CBQ1axa_XQbIUUlNSk5RTQ7LCJdZCIuIaNDQoJiI7k71HJjYqV92XJ-I8c7YqVg0HNSZWZ-1aViYqV9SWtG0rJh</vt:lpwstr>
  </property>
  <property fmtid="{D5CDD505-2E9C-101B-9397-08002B2CF9AE}" pid="344" name="[YXNn_W2i0WVi2A]342:344">
    <vt:lpwstr>2Wl6Ibp2LCJk0q-i2HM7O8AiMSk70WVn1qFbZSIuI-RcZSBmZWZ-1aViYqVnIG-iIHRcZSBQ1axb1aFh1mB8YWl82Wl62G-j07B61aU50axoIGNj1bJ-YrQiI7k7_WQ7O7JhZolsZSJxXSk73Gpg_WQ7O7JN0qR-0G-iZoJ61q-81nE7LCJc_WtoI8c7RXZ-0bQ5UHJjZa-o4EMlN8dFMTY7LCJiYWp-I8c7QoxHUmIgIa-9I8c7RU2DYb57LCJ</vt:lpwstr>
  </property>
  <property fmtid="{D5CDD505-2E9C-101B-9397-08002B2CF9AE}" pid="345" name="[YXNn_W2i0WVi2A]343:345">
    <vt:lpwstr>oZX6oI8c7QqFgYrVgYXR-IHRcZSB80rNoIGxaIG2j0qRnIHNj0GQ5KENPRpMdIGZj17B-YWNcIHBm0qRpYrQiIFRcZSBDTo2TIG-nIGN60GNp0GFoZWQ5YXM52G6-IHN60GVnIGZj17B-YWNcIHBm0qRpYrQ52H-kZSBo_Wp-1mBo_GU5QoxHUmBkZXJ8ZWtoYW2-IGZm0qo52G6-IFk7TWx9ZWk5SWtk2XRnXCI51qV82G-j07BjZ7Bo_GU50W</vt:lpwstr>
  </property>
  <property fmtid="{D5CDD505-2E9C-101B-9397-08002B2CF9AE}" pid="346" name="[YXNn_W2i0WVi2A]344:346">
    <vt:lpwstr>x9ZWk5ZaxmIHRcYXQ51HJjZHV82CBo3XB-L7A74SlvIbJp0GVnI8d03mJk0q-i2HM7O8AiNSk70WVn1qFbZSIuI-RcZSBH1axn1mBQ1axa_XQ52aFg2WU5ZaxmIFBm0q2mYWpnIG-nIGtj2CB80rJmZWNoI7k7_WQ7O7JJW-2g_CJxLHg71Gxd0bRnI8ckL8UgIap-1rN6ZqU7O7JU_GU5RrJj1rM5UHJjZa-oIHZ60HV-IGZj17BG0qx9IG-nI</vt:lpwstr>
  </property>
  <property fmtid="{D5CDD505-2E9C-101B-9397-08002B2CF9AE}" pid="347" name="[YXNn_W2i0WVi2A]345:347">
    <vt:lpwstr>Gtj2CB80rJmZWNoI7k7_WQ7O7Jc_WRW2SJxLHg71Gxd0bRnI8ckL8IpLCJhZXNnYW2-I8c7VG6-IE2m0rNnIFBm0qZd2CBqYWlpZSBa0rI5TWVmYq660aRd1qU5_XM50axoIGNj1bJ-YrQ7LCJdZCIuIa6iYqljIbog3mJk1aVk1ax81mIuWrg71GFmYWpnI8c74C2F2aVi2CBQ1axa_XQbISRDJDEr4C2F2aVi2CBQ1axa_XQbIUMlNTdDMTY7</vt:lpwstr>
  </property>
  <property fmtid="{D5CDD505-2E9C-101B-9397-08002B2CF9AE}" pid="348" name="[YXNn_W2i0WVi2A]346:348">
    <vt:lpwstr>LCJdZCIuIbFT0VFWI7k71HJjYqV92XJ-I8c7YqVg0HNSZWZ-1aViYqV9SWtG0rJh2Wl6Ibp2LCJk0q-i2HM7O8AiM8UgIap-1rN6ZqU7O7JU_GU51aVaZXJ-0aN-1mBa0rI52G6-IFBm0q2mYWpnIEN60GNp0GFo_WxiIGFmZSBi0rQ5Yqxm1aV82CIgIa-9I8c7VWNm3U974SlvIbBmZXBm0qNnI8d03mJkYXJ60XM7O7JwJoVqZWtoIFBm0qZ</vt:lpwstr>
  </property>
  <property fmtid="{D5CDD505-2E9C-101B-9397-08002B2CF9AE}" pid="349" name="[YXNn_W2i0WVi2A]347:349">
    <vt:lpwstr>d2C16JEQ9MT2wJoVqZWtoIFBm0qZd2C16RDEpO9QlN7IgIa-9I8c7Wb6NYqY7LCJk1ax8ZWRp1aU7O7J8ZWlg1pJ-ZaVmZWt8ZWRJ09Zj1app0GE74VogIbBj_Wto1mIuMCsmNSk70WVn1qFbZSIuI-RcZSBmZWZ-1aViYqVnIGZj17Bo_GU5RaxjZCBDYWl82Wl62G-j07B61aU50axoIGNj1bJ-YrQ7LCJdZCIuI9NfZ9lbIbog3mJk1aVk1a</vt:lpwstr>
  </property>
  <property fmtid="{D5CDD505-2E9C-101B-9397-08002B2CF9AE}" pid="350" name="[YXNn_W2i0WVi2A]348:350">
    <vt:lpwstr>x81mIuWrg71GFmYWpnI8c74C2F2aVi2CBQ1axa_XQbISRFJDEr4C2F2aVi2CBQ1axa_XQbIUUlNTdFMTY7LCJdZCIuIalK3HZCI7k71HJjYqV92XJ-I8c7YqVg0HNSZWZ-1aViYqV9SWtG0rJh2Wl6Ibp2LCJk0q-i2HM7O8AiM8UgIap-1rN6ZqU7O7JU_GU51aVaZXJ-0aN-1mBa0rI52G6-IEp-1aNcYWt9_XN-IEN60GNp0GFo_WxiIGFmZ</vt:lpwstr>
  </property>
  <property fmtid="{D5CDD505-2E9C-101B-9397-08002B2CF9AE}" pid="351" name="[YXNn_W2i0WVi2A]349:351">
    <vt:lpwstr>SBi0rQ5Yqxm1aV82CIgIa-9I8c71r-Q0EE74VogIb6h0G-9I8c7TWx9ZWld0a2CYXNdYrMlI7k7_G-i2CIuI9VqZWtoIFBm0qZd2HlDMT1uRTErI7k70aFhZSIuI92m0rNnIFBm0qZd2CIgIa-9I8c7_HRfTaQ7LCJoZX6oI8c7QqFgYrVgYXR-IHRcZSBb1axn1mBk1axa_XQ5ZaxmIGV6Yq551HJjZHV82Cs5VG6-IG2m0rNnIHBm0qZd2CBd</vt:lpwstr>
  </property>
  <property fmtid="{D5CDD505-2E9C-101B-9397-08002B2CF9AE}" pid="352" name="[YXNn_W2i0WVi2A]350:352">
    <vt:lpwstr>1mB8YWl82Wl62GV9IGFnIHRcZSBnYWl-1mBh_Wtp1mBo_GU5QoxHUmBa0rI5ZWF8_CBk1ax92WNoL7A74SlvIbJp0GVnI8d03mJk0q-i2HM7O8EgIap-1rN6ZqU7O7JZ0rVmIGFi1r2-17Ba0rI51XV-1rRd0qs5MmBd1mBi0rQ5Yqxm1aV82Cs7LCJdZCIuI9-M3UVrIbp2LCJs0WldZCIuI9pjZGVg_WtbQaFn_WNnMSIgIa6d0bQ7O7JF2aV</vt:lpwstr>
  </property>
  <property fmtid="{D5CDD505-2E9C-101B-9397-08002B2CF9AE}" pid="353" name="[YXNn_W2i0WVi2A]351:353">
    <vt:lpwstr>i2CBQ1axa_XRwQnErO9UlNmlMMn57LCJiYWp-I8c7UXV-1rRd0qs5MmAhIE2QI7k7_WQ7O7JXZX-LZ7IgIbR-3HQ7O7JX_G-8_CBk1ax92WNoIG2-0aVmYXR-1mBo_GU50GFmZqVn2CBb1axn1mBk1axa_XQzIFN-0GV82CBo_GU5Yqxm1aV82CB60bNrZXI5ZbJj0SBo_GU5ZHJj1Cp90r2iIGld1rQ5_Ws5YqVg0CBMMn5iIbog3mJm2Wl-1m</vt:lpwstr>
  </property>
  <property fmtid="{D5CDD505-2E9C-101B-9397-08002B2CF9AE}" pid="354" name="[YXNn_W2i0WVi2A]352:354">
    <vt:lpwstr>IuWrg71Gxd0bRnI8ckL8UgIap-1rN6ZqU7O7JU_GU5Qqxh0W-n1q-j07BqYWlpZSBa0rI5UHJjZrJ60XM5_XM50axoIGNj1bJ-YrQ7LCJdZCIuIadeZENNIbog3mJk0q-i2HM7O8AiNSk70WVn1qFbZSIuI-RcZSBD0qph_XNn_WxiIHZ60HV-IGZj17BG0qx9IG-nIGtj2CB80rJmZWNoI7k7_WQ7O7JIZExYVmJxLHg71Gxd0bRnI8ckL8IpL</vt:lpwstr>
  </property>
  <property fmtid="{D5CDD505-2E9C-101B-9397-08002B2CF9AE}" pid="355" name="[YXNn_W2i0WVi2A]353:355">
    <vt:lpwstr>CJhZXNnYW2-I8c7VG6-IENj0Wpd1rNd0qs52aFg2WU5ZaxmIEp-1aNcYWt9_XN-IG-nIGtj2CB80rJmZWNoI7k7_WQ7O7Je2GJd37JxLHg71HJ-1HJjYrM7O-hvIbB61aFh1mIuIbkbRXZ-0bQ5UHJjZa-oJmE9QmQmMbkbRXZ-0bQ5UHJjZa-oJmFDMTUgIEMpI7k7_WQ7O7JsR-RnR7IgIbBm0qN-ZHVmZSIuIaN-0GlnUaVaZXJ-0aN-ZE-i</vt:lpwstr>
  </property>
  <property fmtid="{D5CDD505-2E9C-101B-9397-08002B2CF9AE}" pid="356" name="[YXNn_W2i0WVi2A]354:356">
    <vt:lpwstr>Raxm0XVgYSJxXSk71Gxd0bRnI8ckL8IpLCJhZXNnYW2-I8c7VG6-IHJ-ZaVmZWt8ZXM5ZaxmIHRcZSBQ1axb1aFh1mB8YWl82Wl62G-j07B61aU50axoIGNj1bJ-YrQ7LCJdZCIuIatE2opqIbog3mJk1aVk1ax81mIuWrg71GFmYWpnI8c74C2F2aVi2CBQ1axa_XQbISREJDIm4C2F2aVi2CBQ1axa_XQbIUQlNSk5RDU7LCJdZCIuI9tYTGt</vt:lpwstr>
  </property>
  <property fmtid="{D5CDD505-2E9C-101B-9397-08002B2CF9AE}" pid="357" name="[YXNn_W2i0WVi2A]355:357">
    <vt:lpwstr>mI7k71HJjYqV92XJ-I8c7YqVg0HNSZWZ-1aViYqV9SWtG0rJh2Wl6Ibp2LCJk0q-i2HM7O8AiM8UgIap-1rN6ZqU7O7JU_GU51aVaZXJ-0aN-1mBa0rI52G6-IEZj0qQ5YqFgYrVgYXRd0qs5YXJ-IGtj2CB80rJmZWNoI7k7_WQ7O7JTTHVe07JxLHg71HJ-1HJjYrM7O-hvIbB61aFh1mIuIbkbRXZ-0bQ5UHJjZa-oJmE9RSQmMbkbRXZ-0b</vt:lpwstr>
  </property>
  <property fmtid="{D5CDD505-2E9C-101B-9397-08002B2CF9AE}" pid="358" name="[YXNn_W2i0WVi2A]356:358">
    <vt:lpwstr>Q5UHJjZa-oJmFFMTUgIEUpI7k7_WQ7O7Je2rdqYSIgIbBm0qN-ZHVmZSIuIaN-0GlnUaVaZXJ-0aN-ZE-iRaxm0XVgYSJxXSk71Gxd0bRnI8ckL8IpLCJhZXNnYW2-I8c7VG6-IHJ-ZaVmZWt8ZXM5ZaxmIHRcZSBNZXJ8_GFiZG-nZSB8YWl82Wl62G-j07B61aU50axoIGNj1bJ-YrQ7LCJdZCIuI92LSH2HIbp2LCJs0WldZCIuI9pjZGVg_</vt:lpwstr>
  </property>
  <property fmtid="{D5CDD505-2E9C-101B-9397-08002B2CF9AE}" pid="359" name="[YXNn_W2i0WVi2A]357:359">
    <vt:lpwstr>WtbQaFn_WNnMSIgIa6d0bQ7O7JF2aVi2CBQ1axa_XRwQnImO9UmM7IgIat60WU7O7JD0qph_XNn_Wxi1mIgIa-9I8c7_GFPUH97LCJoZX6oI8c7QqFgYrVgYXR-IHRcZSB80qph_XNn_Wxi1mBkYW-9IGZj17B-YWNcIHBm0qRpYrQ52H-kZSs5VG6-IGNj0Wpd1rNd0qtnIHB6_WQ5YXJ-IGN60GNp0GFoZWQ5YXM52G6-IGVs1GV82GV9IHN6</vt:lpwstr>
  </property>
  <property fmtid="{D5CDD505-2E9C-101B-9397-08002B2CF9AE}" pid="360" name="[YXNn_W2i0WVi2A]358:360">
    <vt:lpwstr>0GVnIGZj17B-YWNcIHBm0qRpYrQ52H-kZSBo_Wp-1mBo_GU5Yqxh0W-n1q-j07BkZXJ8ZWtoYW2-IGZm0qo52G6-IFk7TWx9ZWk5SWtk2XRnXCI51qV82G-j07BjZ7Bo_GU50Wx9ZWkiIbog3mJm2Wl-1mIuWrg71Gxd0bRnI8ckL8UgIap-1rN6ZqU7O7JU_GU5Ra-sZWQ5Qqxn2HM52aFg2WU5ZaxmIFBm0q2mYWpnIG-nIGtj2CB80rJmZWN</vt:lpwstr>
  </property>
  <property fmtid="{D5CDD505-2E9C-101B-9397-08002B2CF9AE}" pid="361" name="[YXNn_W2i0WVi2A]359:361">
    <vt:lpwstr>oI7k7_WQ7O7JV2p2WT7JxLHg71Gxd0bRnI8ckL8UgIap-1rN6ZqU7O7JU_GU5Ra-sZWQ5Qqxn2HM52aFg2WU5ZaxmIEZj0qQ5_XM50axoIGNj1bJ-YrQ7LCJdZCIuI9lE1EdqIbog3mJk0q-i2HM7O8AiM8UgIap-1rN6ZqU7O7JU_GU5Ra-sZWQ5Qqxn2HM52aFg2WU5ZaxmIEp-1aNcYWt9_XN-IG-nIGtj2CB80rJmZWNoI7k7_WQ7O7JlY9</vt:lpwstr>
  </property>
  <property fmtid="{D5CDD505-2E9C-101B-9397-08002B2CF9AE}" pid="362" name="[YXNn_W2i0WVi2A]360:362">
    <vt:lpwstr>dp1CJxLHg71HJ-1HJjYrM7O-hvIbB61aFh1mIuIbkbRXZ-0bQ5UHJjZa-oJmE9QmQmMrkbRXZ-0bQ5UHJjZa-oJmFDN7IgIa-9I8c7TGpeQ-M7LCJk1ax8ZWRp1aU7O7J8ZWlg1pJ-ZaVmZWt8ZWRJ09Zj1app0GE74VogIbBj_Wto1mIuMCsmNSk70WVn1qFbZSIuI-RcZSBk1axb1aFh1mB8YWl82Wl62G-j07B90qVnIGtj2CBmZWZ-1aViY</vt:lpwstr>
  </property>
  <property fmtid="{D5CDD505-2E9C-101B-9397-08002B2CF9AE}" pid="363" name="[YXNn_W2i0WVi2A]361:363">
    <vt:lpwstr>qU52G6-IGpjZGVgIG-i1HVo1mIgIa-9I8c7UWhSZUQ74SlvIbBmZXBm0qNnI8d03mJkYXJ60XM7O7JwJoVqZWtoIFBm0qZd2C16JEQ9M8NwJoVqZWtoIFBm0qZd2C16RDY7LCJdZCIuIa-fQb2BI7k71HJjYqV92XJ-I8c7YqVg0HNSZWZ-1aViYqV9SWtG0rJh2Wl6Ibp2LCJk0q-i2HM7O8AiM8UgIap-1rN6ZqU7O7JU_GU5ZaxjZCB8YWl8</vt:lpwstr>
  </property>
  <property fmtid="{D5CDD505-2E9C-101B-9397-08002B2CF9AE}" pid="364" name="[YXNn_W2i0WVi2A]362:364">
    <vt:lpwstr>2Wl62G-j07B90qVnIGtj2CBmZWZ-1aViYqU52G6-IGpjZGVgIG-i1HVo1mIgIa-9I8c7ZUh_TGE74SlvIbBmZXBm0qNnI8d03mJkYXJ60XM7O7JwJoVqZWtoIFBm0qZd2C16JEU9M8NwJoVqZWtoIFBm0qZd2C16RTY7LCJdZCIuIaZd2Gp9I7k71HJjYqV92XJ-I8c7YqVg0HNSZWZ-1aViYqV9SWtG0rJh2Wl6Ibp2LCJk0q-i2HM7O8AiM8U</vt:lpwstr>
  </property>
  <property fmtid="{D5CDD505-2E9C-101B-9397-08002B2CF9AE}" pid="365" name="[YXNn_W2i0WVi2A]363:365">
    <vt:lpwstr>gIap-1rN6ZqU7O7JU_GU50WVmYq660aRd1qU5YqFgYrVgYXRd0qs5ZGx-1mBi0rQ51aVaZXJ-0aN-IHRcZSBh0qR-0CBd0bBp2HM7LCJdZCIuIbBERURbIbp2LCJs0WldZCIuI9pjZGVg_WtbQaFn_WNnMSIgIa6d0bQ7O7JF2aVi2CBQ1axa_XRwQnInO9UmMmIgIat60WU7O7JG_X6-ZCBD0rNo1mIgIa-9I8c73W2r3XE7LCJoZX6oI8c7RW</vt:lpwstr>
  </property>
  <property fmtid="{D5CDD505-2E9C-101B-9397-08002B2CF9AE}" pid="366" name="[YXNn_W2i0WVi2A]364:366">
    <vt:lpwstr>toZXI52G6-IGZd3GV9IGNj1rRnIG-iIHRcZSBh0qR-0Cs5UaVaZXJ-0aN-IHRcZSB61HBm0rBm_WFoZSB60Wxp0bQ5ZaxmIGV6Yq551HJjZHV82CBo3XB-IG-iIHRcZSA5XCJN0qR-0CBJ0bBp2HN1I7BnZWNo_WxiL7JxLHg71bVgZXM7O-hvIbBj_Wto1mIuMCspLCJhZXNnYW2-I8c7VG6-IFRj2GFgIExkZXJ62G-iZmBF3HB-0bN-1mBqY</vt:lpwstr>
  </property>
  <property fmtid="{D5CDD505-2E9C-101B-9397-08002B2CF9AE}" pid="367" name="[YXNn_W2i0WVi2A]365:367">
    <vt:lpwstr>WlpZSBa0rI5UHJjZrJ60XM5_XM50axoIGNj1bJ-YrQ7LCJdZCIuI9JnTG6LIbog3mJk0q-i2HM7O8AiNSk70WVn1qFbZSIuI-RcZSBU0rR60CBP1GVmYXRd0a15RX6kZWtnZXM52aFg2WU5ZaxmIEZj0qQ5_XM50axoIGNj1bJ-YrQ7LCJdZCIuI9tF2oJbIbog3mJk0q-i2HM7O8AiM8UgIap-1rN6ZqU7O7JU_GU5VGxoYWk5TrB-1aFo_Wtb</vt:lpwstr>
  </property>
  <property fmtid="{D5CDD505-2E9C-101B-9397-08002B2CF9AE}" pid="368" name="[YXNn_W2i0WVi2A]366:368">
    <vt:lpwstr>IEVs1GVi1qVnIHZ60HV-IGZj17BNZXJ8_GFiZG-nZSBd1mBi0rQ5Yqxm1aV82CIgIa-9I8c72qFHYU174SlvIbBmZXBm0qNnI8d03mJkYXJ60XM7O7JwJoVqZWtoIFBm0qZd2C16JEM9M8RwJoVqZWtoIFBm0qZd2C16QnIlO9MmMmIgIa-9I8c7QoxkVoM7LCJk1ax8ZWRp1aU7O7J8ZWlg1pJ-ZaVmZWt8ZWRJ09Zj1app0GE74VogIbBj_Wt</vt:lpwstr>
  </property>
  <property fmtid="{D5CDD505-2E9C-101B-9397-08002B2CF9AE}" pid="369" name="[YXNn_W2i0WVi2A]367:369">
    <vt:lpwstr>o1mIuMCsmNSk70WVn1qFbZSIuI-RcZSBmZWZ-1aViYqVnIGZj17Bo_GU5UHJjZrJ60XM5YqFgYrVgYXRd0qs5YXJ-IGtj2CB80rJmZWNoI7k7_WQ7O7JLZGJI1SJxLHg71HJ-1HJjYrM7O-hvIbB61aFh1mIuIbkbRXZ-0bQ5UHJjZa-oJmE9RCQmNHkbRXZ-0bQ5UHJjZa-oJmFEM8EuRDInI7k7_WQ7O7JpTbNZ37IgIbBm0qN-ZHVmZSIuIa</vt:lpwstr>
  </property>
  <property fmtid="{D5CDD505-2E9C-101B-9397-08002B2CF9AE}" pid="370" name="[YXNn_W2i0WVi2A]368:370">
    <vt:lpwstr>N-0GlnUaVaZXJ-0aN-ZE-iRaxm0XVgYSJxXSk71Gxd0bRnI8ckL8IpLCJhZXNnYW2-I8c7VG6-IHJ-ZaVmZWt8ZXM5ZaxmIHRcZSBG0qx9IGN60GNp0GFo_WxiIGFmZSBi0rQ5Yqxm1aV82CIgIa-9I8c72bNW2GU74SlvIbBmZXBm0qNnI8d03mJkYXJ60XM7O7JwJoVqZWtoIFBm0qZd2C16JEU9M8RwJoVqZWtoIFBm0qZd2C16RTIlO9UmM</vt:lpwstr>
  </property>
  <property fmtid="{D5CDD505-2E9C-101B-9397-08002B2CF9AE}" pid="371" name="[YXNn_W2i0WVi2A]369:371">
    <vt:lpwstr>mIgIa-9I8c7YaNqVo97LCJk1ax8ZWRp1aU7O7J8ZWlg1pJ-ZaVmZWt8ZWRJ09Zj1app0GE74VogIbBj_Wto1mIuMCsmNSk70WVn1qFbZSIuI-RcZSBmZWZ-1aViYqVnIGZj17Bo_GU5TWVmYq660aRd1qU5YqFgYrVgYXRd0qs5YXJ-IGtj2CB80rJmZWNoI7k7_WQ7O7JZSa-FSSJxXSk73Gpg_WQ7O7JN0qR-0G-iZoJ61q-81nE7LCJc_Wto</vt:lpwstr>
  </property>
  <property fmtid="{D5CDD505-2E9C-101B-9397-08002B2CF9AE}" pid="372" name="[YXNn_W2i0WVi2A]370:372">
    <vt:lpwstr>I8c7RXZ-0bQ5UHJjZa-o4EMmNDdFM8Q7LCJiYWp-I8c7TrB-1aFo_WtbIEVs1GVi1qVnI7k7_WQ7O7JZTHJQRSIgIbR-3HQ7O7JDYWl82Wl62GU52G6-IHRj2GFgIGxkZXJ62G-iZmB-3HB-0bN-1mBa0rI5ZWF8_CBk1ax92WNoIHRt1GUiIFRc_XM5_XM52G6-IHNp0SBjZ7BnYWl61b95ZX6kZWtnZXM5KH--2CBo0mB7ZSB8YWl82Wl62GV</vt:lpwstr>
  </property>
  <property fmtid="{D5CDD505-2E9C-101B-9397-08002B2CF9AE}" pid="373" name="[YXNn_W2i0WVi2A]371:373">
    <vt:lpwstr>9KSk5Yqxh0W-n1q-j0bMgIGFiZCBo_GU5Za-sZWQ5Yqxn2HM5ZaxmIGV6Yq551HJjZHV82CBo3XB-L7JxLHg71bVgZXM7O-hvIbBj_Wto1mIuMCspLCJhZXNnYW2-I8c7VG6-IFBm0qZd2CBqYWlpZSBa0rI5UHJjZrJ60XM5_XM50axoIGNj1bJ-YrQ7LCJdZCIuI-RaZb69Ibog3mJk0q-i2HM7O8AiNSk70WVn1qFbZSIuI-RcZSBQ1axa_X</vt:lpwstr>
  </property>
  <property fmtid="{D5CDD505-2E9C-101B-9397-08002B2CF9AE}" pid="374" name="[YXNn_W2i0WVi2A]372:374">
    <vt:lpwstr>Q52aFg2WU5ZaxmIEZj0qQ5_XM50axoIGNj1bJ-YrQ7LCJdZCIuIa-sWHJQIbog3mJk0q-i2HM7O8AiM8UgIap-1rN6ZqU7O7JU_GU5UHJjZa-oIHZ60HV-IGZj17BNZXJ8_GFiZG-nZSBd1mBi0rQ5Yqxm1aV82CIgIa-9I8c719ND_-U74SlvIbBmZXBm0qNnI8d03mJkYXJ60XM7O7JwJoVqZWtoIFBm0qZd2C16JEM9M8ZwJoVqZWtoIFBm0</vt:lpwstr>
  </property>
  <property fmtid="{D5CDD505-2E9C-101B-9397-08002B2CF9AE}" pid="375" name="[YXNn_W2i0WVi2A]373:375">
    <vt:lpwstr>qZd2C16QnErLCBDM8Q7LCJdZCIuIbJJSolLI7k71HJjYqV92XJ-I8c7YqVg0HNSZWZ-1aViYqV9SWtG0rJh2Wl6Ibp2LCJk0q-i2HM7O8AiM8UgIap-1rN6ZqU7O7JU_GU51aVaZXJ-0aN-1mBa0rI52G6-IFBm0q2mYWpnIGN60GNp0GFo_WxiIGFmZSBi0rQ5Yqxm1aV82CIgIa-9I8c71F6dWag74SlvIbBmZXBm0qNnI8d03mJkYXJ60XM7</vt:lpwstr>
  </property>
  <property fmtid="{D5CDD505-2E9C-101B-9397-08002B2CF9AE}" pid="376" name="[YXNn_W2i0WVi2A]374:376">
    <vt:lpwstr>O7JwJoVqZWtoIFBm0qZd2C16JEQ9M8ZwJoVqZWtoIFBm0qZd2C16RDErLCBEM8Q7LCJdZCIuIalX_aFLI7k71HJjYqV92XJ-I8c7YqVg0HNSZWZ-1aViYqV9SWtG0rJh2Wl6Ibp2LCJk0q-i2HM7O8AiM8UgIap-1rN6ZqU7O7JU_GU51aVaZXJ-0aN-1mBa0rI52G6-IEZj0qQ5YqFgYrVgYXRd0qs5YXJ-IGtj2CB80rJmZWNoI7k7_WQ7O7J</vt:lpwstr>
  </property>
  <property fmtid="{D5CDD505-2E9C-101B-9397-08002B2CF9AE}" pid="377" name="[YXNn_W2i0WVi2A]375:377">
    <vt:lpwstr>bZENPVCJxLHg71HJ-1HJjYrM7O-hvIbB61aFh1mIuIbkbRXZ-0bQ5UHJjZa-oJmE9RSQmNbkbRXZ-0bQ5UHJjZa-oJmFFMT1gIEUmNCIgIa-9I8c71WFZZWc7LCJk1ax8ZWRp1aU7O7J8ZWlg1pJ-ZaVmZWt8ZWRJ09Zj1app0GE74VogIbBj_Wto1mIuMCsmNSk70WVn1qFbZSIuI-RcZSBmZWZ-1aViYqVnIGZj17Bo_GU5TWVmYq660aRd1q</vt:lpwstr>
  </property>
  <property fmtid="{D5CDD505-2E9C-101B-9397-08002B2CF9AE}" pid="378" name="[YXNn_W2i0WVi2A]376:378">
    <vt:lpwstr>U5YqFgYrVgYXRd0qs5YXJ-IGtj2CB80rJmZWNoI7k7_WQ7O7JtZopd_7JxXSk73Gpg_WQ7O7JN0qR-0G-iZoJ61q-81nE7LCJc_WtoI8c7RXZ-0bQ5UHJjZa-o4EMmN8dFM8Y7LCJiYWp-I8c7UHJjZa-oI7k7_WQ7O7JQ2rZSYSIgIbR-3HQ7O7JDYWl82Wl62GU52G6-IHBm0qZd2CB7ZWZj1aU52G6-IGFmZWt6IGZ-ZSBa0rI5ZWF8_CBk1</vt:lpwstr>
  </property>
  <property fmtid="{D5CDD505-2E9C-101B-9397-08002B2CF9AE}" pid="379" name="[YXNn_W2i0WVi2A]377:379">
    <vt:lpwstr>ax92WNoIHRt1GUiIFRc_XM5_XM52G6-IG2m0rNnIHBm0qZd2CBh_Wtp1mBo_GU52GxoYWk50rB-1aFo_WtbIGVs1GVi1qVnIGZj17B-YWNcIHRt1GU50qY51HJjZHV82Ck5_Wt80HV9_WtbIHRcZSBnYWl61b95ZX6kZWtnZXM5KH--2CBo0mB7ZSB8YWl82Wl62GV9KSs74SlvIbJp0GVnI8d03mJk0q-i2HM7O8IgIap-1rN6ZqU7O7JU_GU5</vt:lpwstr>
  </property>
  <property fmtid="{D5CDD505-2E9C-101B-9397-08002B2CF9AE}" pid="380" name="[YXNn_W2i0WVi2A]378:380">
    <vt:lpwstr>TbVhYaVmIGxaIEVh1Glj3WV-1mBqYWlpZSBa0rI5UHJjZrJ60XM5_XM50axoIGNj1bJ-YrQ7LCJdZCIuI9FD1V67Ibog3mJk0q-i2HM7O8IgIap-1rN6ZqU7O7JU_GU5TbVhYaVmIGxaIEVh1Glj3WV-1mBqYWlpZSBa0rI5RaxjZCBd1mBi0rQ5Yqxm1aV82CIgIa-9I8c7Rr-R1FA74SlvIbBj_Wto1mIuM7k70WVn1qFbZSIuI-RcZSBO2Wp</vt:lpwstr>
  </property>
  <property fmtid="{D5CDD505-2E9C-101B-9397-08002B2CF9AE}" pid="381" name="[YXNn_W2i0WVi2A]379:381">
    <vt:lpwstr>7ZXI50qY5RWpk0GxtZWVnIHZ60HV-IGZj17BNZXJ8_GFiZG-nZSBd1mBi0rQ5Yqxm1aV82CIgIa-9I8c7U-JS2V174SlvIbBmZXBm0qNnI8d03mJkYXJ60XM7O7JwJoVqZWtoIFBm0qZd2C16JEM9M86wJoVqZWtoIFBm0qZd2C16QnIqLCBDNmIgIa-9I8c72aVGYb57LCJk1ax8ZWRp1aU7O7J8ZWlg1pJ-ZaVmZWt8ZWRJ09Zj1app0GE74V</vt:lpwstr>
  </property>
  <property fmtid="{D5CDD505-2E9C-101B-9397-08002B2CF9AE}" pid="382" name="[YXNn_W2i0WVi2A]380:382">
    <vt:lpwstr>ogIbBj_Wto1mIuM7k70WVn1qFbZSIuI-RcZSBmZWZ-1aViYqVnIGZj17Bo_GU5UHJjZrJ60XM5YqFgYrVgYXRd0qs5YXJ-IGtj2CB80rJmZWNoI7k7_WQ7O7JQSXND3SJxLHg71HJ-1HJjYrM7O-hvIbB61aFh1mIuIbkbRXZ-0bQ5UHJjZa-oJmE9RCQmOHkbRXZ-0bQ5UHJjZa-oJmFEM8YgIEQrI7k7_WQ7O7JN0qZe3SIgIbBm0qN-ZHVmZ</vt:lpwstr>
  </property>
  <property fmtid="{D5CDD505-2E9C-101B-9397-08002B2CF9AE}" pid="383" name="[YXNn_W2i0WVi2A]381:383">
    <vt:lpwstr>SIuIaN-0GlnUaVaZXJ-0aN-ZE-iRaxm0XVgYSJxXSk71Gxd0bRnI8clLCJhZXNnYW2-I8c7VG6-IHJ-ZaVmZWt8ZXM5ZaxmIHRcZSBG0qx9IGN60GNp0GFo_WxiIGFmZSBi0rQ5Yqxm1aV82CIgIa-9I8c7Y-R-V-Y74SlvIbBmZXBm0qNnI8d03mJkYXJ60XM7O7JwJoVqZWtoIFBm0qZd2C16JEU9M86wJoVqZWtoIFBm0qZd2C16RTIqLCBF</vt:lpwstr>
  </property>
  <property fmtid="{D5CDD505-2E9C-101B-9397-08002B2CF9AE}" pid="384" name="[YXNn_W2i0WVi2A]382:384">
    <vt:lpwstr>NmIgIa-9I8c7_o2FRr17LCJk1ax8ZWRp1aU7O7J8ZWlg1pJ-ZaVmZWt8ZWRJ09Zj1app0GE74VogIbBj_Wto1mIuMSk70WVn1qFbZSIuI-RcZSBmZWZ-1aViYqVnIGZj17Bo_GU5TWVmYq660aRd1qU5YqFgYrVgYXRd0qs5YXJ-IGtj2CB80rJmZWNoI7k7_WQ7O7JN1Gxp2SJxXSk73Gpg_WQ7O7Ju_81pZSIgIa6d0bQ7O7JF2aVi2CBQ1ax</vt:lpwstr>
  </property>
  <property fmtid="{D5CDD505-2E9C-101B-9397-08002B2CF9AE}" pid="385" name="[YXNn_W2i0WVi2A]383:385">
    <vt:lpwstr>a_XRwQnIsO9UmOCIgIat60WU7O7JO2Wp7ZXI50qY5RWpk0GxtZWVnI7k7_WQ7O7JgSqNdYSIgIbR-3HQ7O7JDYWl82Wl62GU52G6-IGtp0WJ-17BjZ7B-0XBg0r--ZXM52G662CB61aU50aV-ZGV9IHRjIH2j1ag52G6-IGVqZWtoIGZj17B-YWNcIHRt1GU50qY51HJjZHV82Cs5VG6d1mBd1mB8YWl82Wl62GV9IGFnIHRcZSBk1axa_XQ5Ya</vt:lpwstr>
  </property>
  <property fmtid="{D5CDD505-2E9C-101B-9397-08002B2CF9AE}" pid="386" name="[YXNn_W2i0WVi2A]384:386">
    <vt:lpwstr>Va0rJ-IHRcZSB61aViYSBaZWU5ZaxmIGV6Yq552H-kZSBjZ7Bk1ax92WNoLCBo_Wp-1mBo_GU5ZWpk0GxtZWVnIC5-IGxaIGVs1GV82GV9IHBm0qZd2C95ZaxmIGV6Yq551HJjZHV82CBo3XB-IGZm0qo52G6-IFk7TWx9ZWk5SWtk2XRnXCI51qV82G-j07BjZ7Bo_GU52qxm_rNcZWVoL7BCZWN62XN-IH-j2SB8YWti0rQ5_G-mZSB6IGZmY</vt:lpwstr>
  </property>
  <property fmtid="{D5CDD505-2E9C-101B-9397-08002B2CF9AE}" pid="387" name="[YXNn_W2i0WVi2A]385:387">
    <vt:lpwstr>WNo_WxiIGxaIGFiIGVh1Glj3WV-LCBm0rViZCBt0rVmIGN60GNp0GFo_Wxi1mBp1CBo0mBo_GU50aVs2CBr_GxgZSBi2Wp7ZXIiIbog3mJm2Wl-1mIuWrg71Gxd0bRnI8clLCJhZXNnYW2-I8c7WWxp17B60bNrZXI5ZaxmIHFpZXNo_WxiIDQ5_XM50axoIGNj1bJ-YrQiI7k7_WQ7O7JeVFRKY7JxXSk73Gpg_WQ7O7Ju_81pZSIgIa6d0bQ7</vt:lpwstr>
  </property>
  <property fmtid="{D5CDD505-2E9C-101B-9397-08002B2CF9AE}" pid="388" name="[YXNn_W2i0WVi2A]386:388">
    <vt:lpwstr>O7JF2aVi2CBQ1axa_XRwQnIsO9UmOClMNDA7LCJiYWp-I8c7UXV-1rRd0qs5NCBB0bNrZXI7LCJdZCIuI-doSqJaI7k72GVs2CIuI-2c_WNcIHBm0qRpYrQ52q-g0CBmZXFp_XJ-IHRcZSBaZX2-1rQ5ZWpk0GxtZWVnPmBTZWl-YrQ52G6-IGNj1bJ-YrQ5YWtn2qVmIGZm0qo52G6-IGRm0rAhZGxr07Bg_XNoIG-iIGN-0Gk5TDQkL7JxLHg</vt:lpwstr>
  </property>
  <property fmtid="{D5CDD505-2E9C-101B-9397-08002B2CF9AE}" pid="389" name="[YXNn_W2i0WVi2A]387:389">
    <vt:lpwstr>71bVgZXM7O-hvIbBj_Wto1mIuM7k70WVn1qFbZSIuI-RcZSBTYWl61b95RX6kZWtnZXM52aFg2WU5ZaxmIFBm0q2mYWpnIG-nIGtj2CB80rJmZWNoI7k7_WQ7O7Jk0WV6RCJxLHg71Gxd0bRnI8cmLCJhZXNnYW2-I8c7VG6-IFN60GFm3SBF3HB-0bN-1mBqYWlpZSBa0rI5RaxjZCBd1mBi0rQ5Yqxm1aV82CIgIa-9I8c7WERdW9o74SlvIb</vt:lpwstr>
  </property>
  <property fmtid="{D5CDD505-2E9C-101B-9397-08002B2CF9AE}" pid="390" name="[YXNn_W2i0WVi2A]388:390">
    <vt:lpwstr>Bj_Wto1mIuM7k70WVn1qFbZSIuI-RcZSBTYWl61b95RX6kZWtnZXM52aFg2WU5ZaxmIEp-1aNcYWt9_XN-IG-nIGtj2CB80rJmZWNoI7k7_WQ7O7JsRVdX07JxLHg71HJ-1HJjYrM7O-hvIbB61aFh1mIuIbkbRXZ-0bQ5UHJjZa-oJmE9QmQmMXkbRXZ-0bQ5UHJjZa-oJmFDM85gIEMsI7k7_WQ7O7JHS9t_07IgIbBm0qN-ZHVmZSIuIaN-0</vt:lpwstr>
  </property>
  <property fmtid="{D5CDD505-2E9C-101B-9397-08002B2CF9AE}" pid="391" name="[YXNn_W2i0WVi2A]389:391">
    <vt:lpwstr>GlnUaVaZXJ-0aN-ZE-iRaxm0XVgYSJxXSk71Gxd0bRnI8cmLCJhZXNnYW2-I8c7VG6-IHJ-ZaVmZWt8ZXM5_Ws52G6-IFBm0q2mYWpnIGN60GNp0GFo_WxiIGFmZSBi0rQ5Yqxm1aV82CIgIa-9I8c7T-2SUWE74SlvIbBmZXBm0qNnI8d03mJkYXJ60XM7O7JwJoVqZWtoIFBm0qZd2C16JEQ9M8FwJoVqZWtoIFBm0qZd2C16RDIsLCBDOCIg</vt:lpwstr>
  </property>
  <property fmtid="{D5CDD505-2E9C-101B-9397-08002B2CF9AE}" pid="392" name="[YXNn_W2i0WVi2A]390:392">
    <vt:lpwstr>Ia-9I8c73aVEY-c7LCJk1ax8ZWRp1aU7O7J8ZWlg1pJ-ZaVmZWt8ZWRJ09Zj1app0GE74VogIbBj_Wto1mIuMSk70WVn1qFbZSIuI-RcZSBmZWZ-1aViYqVnIG-iIHRcZSBG0qx9IGN60GNp0GFo_WxiIGFmZSBi0rQ5Yqxm1aV82CIgIa-9I8c7VqFrSaY74SlvIbBmZXBm0qNnI8d03mJkYXJ60XM7O7JwJoVqZWtoIFBm0qZd2C16JEU9M8F</vt:lpwstr>
  </property>
  <property fmtid="{D5CDD505-2E9C-101B-9397-08002B2CF9AE}" pid="393" name="[YXNn_W2i0WVi2A]391:393">
    <vt:lpwstr>wJoVqZWtoIFBm0qZd2C16RTIsLCBDOCIgIa-9I8c7Rp-nZb97LCJk1ax8ZWRp1aU7O7J8ZWlg1pJ-ZaVmZWt8ZWRJ09Zj1app0GE74VogIbBj_Wto1mIuMSk70WVn1qFbZSIuI-RcZSBmZWZ-1aViYqVnIG-iIHRcZSBNZXJ8_GFiZG-nZSB8YWl82Wl62G-j07B61aU50axoIGNj1bJ-YrQ7LCJdZCIuI-VpYr6qIbp2LCJs0WldZCIuI9pjZG</vt:lpwstr>
  </property>
  <property fmtid="{D5CDD505-2E9C-101B-9397-08002B2CF9AE}" pid="394" name="[YXNn_W2i0WVi2A]392:394">
    <vt:lpwstr>Vg_WtbQaFn_WNnMSIgIa6d0bQ7O7JF2aVi2CBQ1axa_XRwQnIlO9UmMSIgIat60WU7O7JTYWl61b95RX6kZWtnZXM7LCJdZCIuI9lJRExUI7k72GVs2CIuI9N60GNp0GFoZSBo_GU51qFgYXJtIGVs1GVi1qVnIGZj17B-YWNcIHBm0qRpYrQ52H-kZSs5VG6d1mBd1mB8YWl82Wl62GV9IGFnIHRcZSBi2Wp7ZXI50qY5ZWpk0GxtZWVnIGt-Z</vt:lpwstr>
  </property>
  <property fmtid="{D5CDD505-2E9C-101B-9397-08002B2CF9AE}" pid="395" name="[YXNn_W2i0WVi2A]393:395">
    <vt:lpwstr>WR-ZCBa0rI5ZWF8_CBk1ax92WNoIHRt1GU52G-hZXM52G6-IHN60GFm3SAc1GVmIGVh1Glj3WV-KSBd07Bo_GU5XCJN0qR-0CBJ0bBp2HN1I7BnZWNo_WxiL7AcRWpk0GxtZWVnIGp6_qU52G6-IHN60WU51qFgYXJtIGR-1rBd2GU52G6-IHBm0qRpYrQ52H-kZSsdIFRc_XM52q-g0CB81aV62GU5YSB8_XJ82Wl617BmZWZ-1aViYqU5_Ws5</vt:lpwstr>
  </property>
  <property fmtid="{D5CDD505-2E9C-101B-9397-08002B2CF9AE}" pid="396" name="[YXNn_W2i0WVi2A]394:396">
    <vt:lpwstr>3Wxp17Br0rJf1q6-ZXQiIF-j2SBr_WlgIGt-ZWQ52Gw5Yq660a2-IHRcZSBj1HRd0qtnIG-iIEVsYqVgIHRjIGFk1HJj1HJdYXR-0H95YWN80rVi2CBa0rI52G6-IGNd1aNp0GFmIHJ-ZaVmZWt8ZSs74SlvIbJp0GVnI8d03mJk0q-i2HM7O8AiM8UgIap-1rN6ZqU7O7JU_GU5UqFgZXM5UrVh0WFm3SBqYWlpZSBd1mBi0rQ5Yqxm1aV82CI</vt:lpwstr>
  </property>
  <property fmtid="{D5CDD505-2E9C-101B-9397-08002B2CF9AE}" pid="397" name="[YXNn_W2i0WVi2A]395:397">
    <vt:lpwstr>gIa-9I8c7QalT2X974SlvIbBmZXBm0qNnI8d03mJkYXJ60XM7O7JwJoVqZWtoIFBm0qZd2C16JEM9MnJwJoVqZWtoIFBm0qZd2C16QnEpO9UlNSIgIa-9I8c7VVBHVUE7LCJk1ax8ZWRp1aU7O7J8ZWlg1pJ-ZaVmZWt8ZWRJ09Zj1app0GE74VogIbBj_Wto1mIuMCsmNSk70WVn1qFbZSIuI-RcZSBTYWl-1mBT2WphYXJtIGN60GNp0GFo_W</vt:lpwstr>
  </property>
  <property fmtid="{D5CDD505-2E9C-101B-9397-08002B2CF9AE}" pid="398" name="[YXNn_W2i0WVi2A]396:398">
    <vt:lpwstr>xiIHJ-ZaVmZWt8ZXM5YXJ-IGtj2CB80rJmZWNoI7k7_WQ7O7JG1U6tWSJxXSk73Gpg_WQ7O7JN0qR-0G-iZoJ61q-81nE7LCJc_WtoI8c7RXZ-0bQ5UHJjZa-o4EMnM7lDMTUuRTEpI7k70aFhZSIuI-N60GVnIFNp0Wp61b97LCJdZCIuI9xdZbdoI7k72GVs2CIuI9Nj0XBgZXR-IHRcZSB1I-N60GVnXCI51Gxm2G-j07BjZ7Bo_GU5XCJQ1</vt:lpwstr>
  </property>
  <property fmtid="{D5CDD505-2E9C-101B-9397-08002B2CF9AE}" pid="399" name="[YXNn_W2i0WVi2A]397:399">
    <vt:lpwstr>axa_XQ5UrVh0WFm3Vk7IHN-YrRd0qs50qY52G6-IH2j1ahn_GV-2CB73SB8YWl82Wl62G-iZmBo_GU52GxoYWk51qFgZXM5ZaxmIGFg0CBk1ax92WNo1mBa1axhIHRcZSB1I92m0rNnIFBm0qZd2Fk7IHN-YrRd0qs50qY52G6-IGpjZGVgL7JxLHg71bVgZXM7O-hvIbBj_Wto1mIuMCsmNSk70WVn1qFbZSIuI-RcZSBH1axn1mBQ1axa_XQ5</vt:lpwstr>
  </property>
  <property fmtid="{D5CDD505-2E9C-101B-9397-08002B2CF9AE}" pid="400" name="[YXNn_W2i0WVi2A]398:400">
    <vt:lpwstr>UrVh0WFm3SBqYWlpZSBd1mBi0rQ5Yqxm1aV82CIgIa-9I8c7VVVH_rQ74SlvIbBmZXBm0qNnI8d03mJkYXJ60XM7O7JwJoVqZWtoIFBm0qZd2C16JEM9MnNwJoVqZWtoIFBm0qZd2C16QnErO9UlNmIgIa-9I8c7Za6uUEk7LCJk1ax8ZWRp1aU7O7J8ZWlg1pJ-ZaVmZWt8ZWRJ09Zj1app0GE74VogIbBj_Wto1mIuMCsmNSk70WVn1qFbZSI</vt:lpwstr>
  </property>
  <property fmtid="{D5CDD505-2E9C-101B-9397-08002B2CF9AE}" pid="401" name="[YXNn_W2i0WVi2A]399:401">
    <vt:lpwstr>uI-RcZSBH1axn1mBQ1axa_XQ5UrVh0WFm3SB8YWl82Wl62G-j07BmZWZ-1aViYqVnIGFmZSBi0rQ5Yqxm1aV82CIgIa-9I8c7Yq2CUWg74VogIb6h0G-9I8c7TWx9ZWld0a2CYXNdYrMlI7k7_G-i2CIuI9VqZWtoIFBm0qZd2HlDMT1uRTErLEMnMmIgIat60WU7O7JH1axn1mBQ1axa_XQ5UrVh0WFm3SIgIa-9I8c7UFJ_1-E7LCJoZX6oI8</vt:lpwstr>
  </property>
  <property fmtid="{D5CDD505-2E9C-101B-9397-08002B2CF9AE}" pid="402" name="[YXNn_W2i0WVi2A]400:402">
    <vt:lpwstr>c7Qqxh1Gl-2GU52G6-IFk7RrJj1rM5UHJjZa-oXCI51Gxm2G-j07BjZ7Bo_GU5XCJQ1axa_XQ5UrVh0WFm3Vk7IHN-YrRd0qs50qY52G6-IH2j1ahn_GV-2CB73SBo0rR60G-iZmBo_GU5ZrJj1rM51HJjZa-oIGZj17B60Gk51HJjZHV82HM5ZbJj0SBo_GU5XCJH1axn1mBQ1axa_XR1I7BnZWNo_WxiIGxaIHRcZSBh0qR-0Cs74SlvIbJp0</vt:lpwstr>
  </property>
  <property fmtid="{D5CDD505-2E9C-101B-9397-08002B2CF9AE}" pid="403" name="[YXNn_W2i0WVi2A]401:403">
    <vt:lpwstr>GVnI8d03mJk0q-i2HM7O8AiM8UgIap-1rN6ZqU7O7JU_GU5TrB-1aFo_WtbIEVs1GVi1qVnIFNp0Wp61b952aFg2WU5_XM50axoIGNj1bJ-YrQ7LCJdZCIuI9JlU9lnIbog3mJk1aVk1ax81mIuWrg71GFmYWpnI8c74C2F2aVi2CBQ1axa_XQbISRDJDMo4C2F2aVi2CBQ1axa_XQbIUMmNDdFM8Q7LCJdZCIuIa-Q1atXI7k71HJjYqV92XJ-</vt:lpwstr>
  </property>
  <property fmtid="{D5CDD505-2E9C-101B-9397-08002B2CF9AE}" pid="404" name="[YXNn_W2i0WVi2A]402:404">
    <vt:lpwstr>I8c7YqVg0HNSZWZ-1aViYqV9SWtG0rJh2Wl6Ibp2LCJk0q-i2HM7O8AiM8UgIap-1rN6ZqU7O7JU_GU5TrB-1aFo_WtbIEVs1GVi1qVnIFNp0Wp61b95YqFgYrVgYXRd0qs51aVaZXJ-0aN-1mB61aU50axoIGNj1bJ-YrQ7LCJdZCIuI-Fd0HJ9Ibp2LCJs0WldZCIuI9pjZGVg_WtbQaFn_WNnMSIgIa6d0bQ7O7JF2aVi2CBQ1axa_XRwQnM</vt:lpwstr>
  </property>
  <property fmtid="{D5CDD505-2E9C-101B-9397-08002B2CF9AE}" pid="405" name="[YXNn_W2i0WVi2A]403:405">
    <vt:lpwstr>oLEMmNDdFM8Q7LCJiYWp-I8c7TrB-1aFo_WtbIEVs1GVi1qU5UrVh0WFm3SIgIa-9I8c7WUdr1ak7LCJoZX6oI8c7Qqxh1Gl-2GU52G6-IFk7VGxoYWk5TrB-1aFo_WtbIEVs1GVi1qVnXCI51Gxm2G-j07BjZ7Bo_GU5XCJQ1axa_XQ5UrVh0WFm3Vk7IHN-YrRd0qs50qY52G6-IH2j1ahn_GV-2CB73SB8YWl82Wl62G-iZmBo_GU52GxoYW</vt:lpwstr>
  </property>
  <property fmtid="{D5CDD505-2E9C-101B-9397-08002B2CF9AE}" pid="406" name="[YXNn_W2i0WVi2A]404:406">
    <vt:lpwstr>k50rB-1aFo_WtbIGVs1GVi1qVnIGZj17B60Gk51HJjZHV82HM5ZbJj0SBo_GU5XCJP1GVmYXRd0a15RX6kZWtnZXN1I7BnZWNo_WxiIGxaIHRcZSBh0qR-0Cs74SlvIbJp0GVnI8d03mJk0q-i2HM7O8AiM8UgIap-1rN6ZqU7O7JU_GU5UHJjZa-oIGJ-ZaxmZSBB1aViYSBGZWU5UrVh0WFm3SBqYWlpZSBd1mBi0rQ5Yqxm1aV82CIgIa-9I</vt:lpwstr>
  </property>
  <property fmtid="{D5CDD505-2E9C-101B-9397-08002B2CF9AE}" pid="407" name="[YXNn_W2i0WVi2A]405:407">
    <vt:lpwstr>8c71olI2HE74SlvIbBmZXBm0qNnI8d03mJkYXJ60XM7O7JwJoVqZWtoIFBm0qZd2C16JEM9MnVwJoVqZWtoIFBm0qZd2C16QnIqO9UmN7IgIa-9I8c73--M_aM7LCJk1ax8ZWRp1aU7O7J8ZWlg1pJ-ZaVmZWt8ZWRJ09Zj1app0GE74VogIbBj_Wto1mIuMCsmNSk70WVn1qFbZSIuI-RcZSBQ1axa_XQ5YaVa0rJ-IEFmZWt6IEZ-ZSBT2Wph</vt:lpwstr>
  </property>
  <property fmtid="{D5CDD505-2E9C-101B-9397-08002B2CF9AE}" pid="408" name="[YXNn_W2i0WVi2A]406:408">
    <vt:lpwstr>YXJtIGN60GNp0GFo_WxiIHJ-ZaVmZWt8ZXM5YXJ-IGtj2CB80rJmZWNoI7k7_WQ7O7JmWV2rV7JxXSk73Gpg_WQ7O7JN0qR-0G-iZoJ61q-81nE7LCJc_WtoI8c7RXZ-0bQ5UHJjZa-o4EMnNSlDM8YuRTIqI7k70aFhZSIuI-Bm0qZd2CB7ZWZj1aU5QXJ-0aE5RaV-I7k7_WQ7O7JCRrZRRCIgIbR-3HQ7O7JD0qpk0GVoZSBo_GU5XCJQ1ax</vt:lpwstr>
  </property>
  <property fmtid="{D5CDD505-2E9C-101B-9397-08002B2CF9AE}" pid="409" name="[YXNn_W2i0WVi2A]407:409">
    <vt:lpwstr>a_XQ5YaVa0rJ-IEFmZWt6IEZ-ZVk7IHBj1bRd0qs50qY52G6-IFlpM8AlOFBm0qZd2CBT2WphYXJtXCI51qV82G-j07BjZ7Bo_GU52qxm_rNcZWVoIGJtIGN60GNp0GFo_WtbIHRcZSBo0rR60CBk1axa_XQ5YaVa0rJ-IHRcZSB61aViYSBaZWU5ZaxmIGFg0CBk1ax92WNo1mBa1axhIHRcZSB1I9xkZXJ62G-iZmBF3HB-0bN-1pk7IHN-Yr</vt:lpwstr>
  </property>
  <property fmtid="{D5CDD505-2E9C-101B-9397-08002B2CF9AE}" pid="410" name="[YXNn_W2i0WVi2A]408:410">
    <vt:lpwstr>Rd0qs50qY52G6-IGpjZGVgL7JxLHg71bVgZXM7O-hvIbBj_Wto1mIuMCsmNSk70WVn1qFbZSIuI-RcZSBB1aViYSBGZWU5UrVh0WFm3SBqYWlpZSBd1mBi0rQ5Yqxm1aV82CIgIa-9I8c7YqxZ2E174SlvIbBmZXBm0qNnI8d03mJkYXJ60XM7O7JwJoVqZWtoIFBm0qZd2C16JEM9MnZwJoVqZWtoIFBm0qZd2C16Qn97LCJdZCIuI-R-0GFMI</vt:lpwstr>
  </property>
  <property fmtid="{D5CDD505-2E9C-101B-9397-08002B2CF9AE}" pid="411" name="[YXNn_W2i0WVi2A]409:411">
    <vt:lpwstr>7k71HJjYqV92XJ-I8c7YqVg0HNSZWZ-1aViYqV9SWtG0rJh2Wl6Ibp2LCJk0q-i2HM7O8AiM8UgIap-1rN6ZqU7O7JU_GU5QXJ-0aE5RaV-IFNp0Wp61b95YqFgYrVgYXRd0qs51aVaZXJ-0aN-IG-nIGNj1bJ-YrQ7LCJdZCIuI-BqQrRKIbp2LCJs0WldZCIuI9pjZGVg_WtbQaFn_WNnMSIgIa6d0bQ7O7JF2aVi2CBQ1axa_XRwQnMqI7k7</vt:lpwstr>
  </property>
  <property fmtid="{D5CDD505-2E9C-101B-9397-08002B2CF9AE}" pid="412" name="[YXNn_W2i0WVi2A]410:412">
    <vt:lpwstr>0aFhZSIuI9FmZWt6IEZ-ZSIgIa-9I8c73HJcTr17LCJoZX6oI8c7Qqxh1Gl-2GU52G6-IFk7QXJ-0aE5RaV-XCI51Gxm2G-j07BjZ7Bo_GU5XCJQ1axa_XQ5UrVh0WFm3Vk7IHN-YrRd0qs50qY52G6-IGpjZGVgIGJtIHJ-ZaVmZWt8_WtbIHRcZSB61aViYSBaZWU5ZbJj0SBo_GU5XCJN0qR-0CBJ0bBp2HN1I7BnZWNo_WxiIGxaIHRcZSB</vt:lpwstr>
  </property>
  <property fmtid="{D5CDD505-2E9C-101B-9397-08002B2CF9AE}" pid="413" name="[YXNn_W2i0WVi2A]411:413">
    <vt:lpwstr>r0rJf1q6-ZXQiIbog3mJm2Wl-1mIuWrg71Gxd0bRnI8ckL8IpLCJhZXNnYW2-I8c7VG6-IEt-2CBQ1axa_XQ5UrVh0WFm3SBqYWlpZSBd1mBi0rQ5Yqxm1aV82CIgIa-9I8c7VaJVRVU74SlvIbBmZXBm0qNnI8d03mJkYXJ60XM7O7JwJoVqZWtoIFBm0qZd2C16JEM9Mn2wJoVqZWtoIFBm0qZd2C16QnMpO9MnN7IgIa-9I8c71aJoSr17LC</vt:lpwstr>
  </property>
  <property fmtid="{D5CDD505-2E9C-101B-9397-08002B2CF9AE}" pid="414" name="[YXNn_W2i0WVi2A]412:414">
    <vt:lpwstr>Jk1ax8ZWRp1aU7O7J8ZWlg1pJ-ZaVmZWt8ZWRJ09Zj1app0GE74VogIbBj_Wto1mIuMCsmNSk70WVn1qFbZSIuI-RcZSBOZXQ5UHJjZa-oIGN60GNp0GFo_WxiIHJ-ZaVmZWt8ZXM5YXJ-IGtj2CB80rJmZWNoI7k7_WQ7O7JqZrJ6UmJxXSk73Gpg_WQ7O7JN0qR-0G-iZoJ61q-81nE7LCJc_WtoI8c7RXZ-0bQ5UHJjZa-o4EMnNTdDMn17L</vt:lpwstr>
  </property>
  <property fmtid="{D5CDD505-2E9C-101B-9397-08002B2CF9AE}" pid="415" name="[YXNn_W2i0WVi2A]413:415">
    <vt:lpwstr>CJiYWp-I8c7TaVoIFBm0qZd2CIgIa-9I8c71oVtUoI7LCJoZX6oI8c7QqFgYrVgYXR-IHRcZSB1I9t-2CBQ1axa_XR1I7Bk0rJo_WxiIGxaIHRcZSB1I-Bm0qZd2CBT2WphYXJtXCI51qV82G-j07BjZ7Bo_GU50Wx9ZWk5Yb951rV72HJ6YrRd0a152G6-IGFmZWt6IGZ-ZSBa1axhIHRcZSBk1axa_XQ5YaVa0rJ-IHRcZSB61aViYSBaZWUi</vt:lpwstr>
  </property>
  <property fmtid="{D5CDD505-2E9C-101B-9397-08002B2CF9AE}" pid="416" name="[YXNn_W2i0WVi2A]414:416">
    <vt:lpwstr>Ibog3mJm2Wl-1mIuWrg71Gxd0bRnI8csLCJhZXNnYW2-I8c7VG6-IGN60GNp0GFo_WxiIGZj17Bo_GU5ZGFoYSBoYWJgZSBd1mBd0aNj1bJ-YrQiI7k7_WQ7O7Jp0bdDSSJxLHg71Gxd0bRnI8ctLCJhZXNnYW2-I8c7VG6-IGR62GE52GF70GU52aFg2WVnIGZj17BQ1axb1aFh1mB61aU5_Wt80rJmZWNoL7IgIa-9I8c71EJ_UU574SlvIbB</vt:lpwstr>
  </property>
  <property fmtid="{D5CDD505-2E9C-101B-9397-08002B2CF9AE}" pid="417" name="[YXNn_W2i0WVi2A]415:417">
    <vt:lpwstr>j_Wto1mIuOCk70WVn1qFbZSIuI-RcZSB9YXR6IHR6Yal-IHZ60HV-1mBa0rI5RaxjZCB61aU5_Wt80rJmZWNoL7IgIa-9I8c72E2PVa174SlvIbBj_Wto1mIuOSk70WVn1qFbZSIuI-RcZSB9YXR6IHR6Yal-IHZ60HV-1mBa0rI5TWVmYq660aRd1qU5YXJ-IG-iYqxm1aV82Cs7LCJdZCIuIbBNWH2pIbp2LCJs0WldZCIuI9pjZGVg_WtbQa</vt:lpwstr>
  </property>
  <property fmtid="{D5CDD505-2E9C-101B-9397-08002B2CF9AE}" pid="418" name="[YXNn_W2i0WVi2A]416:418">
    <vt:lpwstr>Fn_WNnM7IgIa6d0bQ7O7JF2aVi2CBQ1axa_XRwSTImO9kmOSIgIat60WU7O7JEYXR6IFR6Yal-I7k7_WQ7O7JaZpBtR7IgIbR-3HQ7O7JD0qpk0GVoZSBo_GU5ZGFoYSBoYWJgZSBd07Bo_GU5XCJX_GFoLW-aIEFiYWlt1q-nXCI51qV82G-j07BjZ7Bo_GU52qxm_rNcZWVoIHRjIGNj0XB61aU52G6-IGt-2CBk1axa_XQ5ZaxmIHZ61a-j2</vt:lpwstr>
  </property>
  <property fmtid="{D5CDD505-2E9C-101B-9397-08002B2CF9AE}" pid="419" name="[YXNn_W2i0WVi2A]417:419">
    <vt:lpwstr>XM52aFg2WVnIGxaIHRcZSB62HR-0aR60aN-IGZj1aV8YXNoIGFiZCBo_GU5YXJ-0aE5ZaV-L7JxLHg71bVgZXM7O-hvIbBj_Wto1mIuMSk70WVn1qFbZSIuI--j2XI5YWtn2qVmIHRjIHFpZXNo_WxiIDU5_XM50axoIGNj1bJ-YrQiI7k7_WQ7O7J60-2e17JxXSk73Gpg_WQ7O7JN0qR-0G-iZoJ61q-81nI7LCJc_WtoI8c7RXZ-0bQ5UHJj</vt:lpwstr>
  </property>
  <property fmtid="{D5CDD505-2E9C-101B-9397-08002B2CF9AE}" pid="420" name="[YXNn_W2i0WVi2A]418:420">
    <vt:lpwstr>Za-o4EkoM7lJM8IuTDItI7k70aFhZSIuI-FpZXNo_WxiIDU5QWtn2qVmI7k7_WQ7O7JhSoxp2mIgIbR-3HQ7O7JX0rVgZCBo_GU5ZXZ-0bQ5YaU51HJjZa-oYWJgZSBr_XRcIGE5JDEpMCkkMDA5YXJ-0aE5ZaV-IG-aIDEpLDAkMCBkZWxk0GU52qVmZSBd07B62HR-0aR60aN-PmBTZWl-YrQ52G6-IGNj1bJ-YrQ5YWtn2qVmIGZm0qo52G6</vt:lpwstr>
  </property>
  <property fmtid="{D5CDD505-2E9C-101B-9397-08002B2CF9AE}" pid="421" name="[YXNn_W2i0WVi2A]419:421">
    <vt:lpwstr>-IGRm0rAhZGxr07Bg_XNoIG-iIGN-0Gk5TDQmL7JxXSk7_WQ7O7Jj2GxfZCIgIbR-3HQ7O7JZ0rU5YXJ-IHRcZSBj2qt-17BjZ7B6IHNhYWlgIGJp1q-iZXNnIHRcYXQ50WFiYW2-1mBo_GU51HJjZrJ60Sk5ZaxjZCk5YWt9IGp-1aNcYWt9_XN-IHN60GVnIGFoIHRcZSBF3GN-0CBDZWtoZXIgIH2cZXJ-IHRcZSBg0qN60CBk1axaZXNn_W</vt:lpwstr>
  </property>
  <property fmtid="{D5CDD505-2E9C-101B-9397-08002B2CF9AE}" pid="422" name="[YXNn_W2i0WVi2A]420:422">
    <vt:lpwstr>xiYWk5YaFn_qVoYaFg0CBoZWFhIHBgYX-nL7BJ07B6ZGRd2G-j07Bo0mB7YXNfZXR7YWlgIG260WVnLCBo_GU5RX68ZWk5QqVi2GVmIG6j1rRnIGRj3aVi1mBjZ7B-2aVi2HM5YSBtZWFmL7BZ0rVmIGNj0XB60b95_GFiZGl-1mB60Gk51qFgZXM50WF9ZSBd0bNdZGU52G6-IGFmZWt6L7BU_GVmZSB61aU52G6mZWU50WFe0rI51HJjZHV82</vt:lpwstr>
  </property>
  <property fmtid="{D5CDD505-2E9C-101B-9397-08002B2CF9AE}" pid="423" name="[YXNn_W2i0WVi2A]421:423">
    <vt:lpwstr>HM53WxpIHN-0GkuIHBm0q2mYWpnLCBa0qx9LCB60aQ50WVmYq660aRd1qUiIF-j2SBcYXZ-IGR-Yq-9ZWQ52Gw5YbVd0GQ5YSBn1HJ-YWRn_GV-2CBh0qR-0CBo0mBcZWlkIH-j2SB60aFg3Xd-IGFiZCBk1axeZWNoIHRcZSBk1axa_XR6Ya-g_XRtIGxaIGZp2HVmZSB-2aVi2HMiIFRcZSB1I9VqZWtoIFBm0qZd2Fk7IH2j1ahn_GV-2CB8</vt:lpwstr>
  </property>
  <property fmtid="{D5CDD505-2E9C-101B-9397-08002B2CF9AE}" pid="424" name="[YXNn_W2i0WVi2A]422:424">
    <vt:lpwstr>0qtoYW-i1mBo_G-nIGpjZGVgL7BZ0rU5_GFqZSBmYWt90qpg3SBnZWl-YrR-ZCBnYWl-1mB60aQ5YXRoZWt9YWt8ZSB9YXR6IGZm0qo5YSBi2Wp7ZXI50qY51GFn2CB-2aVi2HM52Gw5_GVg1CB72W-gZCBt0rVmIGpjZGVgL7BU_G-nIGR62GE5YqFiIGJ-IGZj2Wt9IGxiIHRcZSB1I-B61rQ5RXZ-0bRnXCI52qxm_rNcZWVoL7BZ0rU52q-</vt:lpwstr>
  </property>
  <property fmtid="{D5CDD505-2E9C-101B-9397-08002B2CF9AE}" pid="425" name="[YXNn_W2i0WVi2A]423:425">
    <vt:lpwstr>g0CB60aFg3Xd-IHRc_XM5ZGFoYSBd07Bj1aR-17Bo0mBjYbR6_Ws5YXBk1axk1a-62GU52aFg2WVnIHRjIGR-2aVg0rA52G6-IGpjZGVgL7BD0qpk0GVoZSBo_GU52GFn_rM52Gw5Za-i_XNcIHRcZSBh0qR-0Cs5Vq6-0aVqZXI51Gxn1q-70GUgIHJ-ZaVmZWt8ZSB8ZWlg1mBmYXRcZXI52G6607BcYXJ9LWNjZG-iZmBqYWlpZXM5_Ws52G</vt:lpwstr>
  </property>
  <property fmtid="{D5CDD505-2E9C-101B-9397-08002B2CF9AE}" pid="426" name="[YXNn_W2i0WVi2A]424:426">
    <vt:lpwstr>6-IGN-0GlnIGxaIH-j2XI52qxm_rNcZWVoL7IgIbRd2Gl-I8c7RXZ-0bQ5UHJjZa-oYWJd0G-o3SJxLHg72GFn_rM7O-hvIbJp0GVnI8d03mJk0q-i2HM7O8IgIap-1rN6ZqU7O7JU_GU5UaxrIEl6YaVg1mBa0rI52G6-IFBd2axoVGF70GU50qs52G6-IFBUMSBr0rJf1q6-ZXQ5YXJ-IGtj2CB80rJmZWNoL7IgIa-9I8c7Uqtc2ag74SlvI</vt:lpwstr>
  </property>
  <property fmtid="{D5CDD505-2E9C-101B-9397-08002B2CF9AE}" pid="427" name="[YXNn_W2i0WVi2A]425:427">
    <vt:lpwstr>bBj_Wto1mIuM7k70WVn1qFbZSIuI-RcZSBWYWlpZXM5Za--0GQ5ZaxmIHRcZSBQ_XZj2FR6Yal-IGxiIHRcZSBQVDE52qxm_rNcZWVoIG-nIGtj2CB80rJmZWNoL7IgIa-9I8c73UhnVq974SlvIbBj_Wto1mIuM7k70WVn1qFbZSIuI-RcZSB1I-Np0Wp61a-uZSBWYWlpZXM5Qb-1I7BnZXRo_WtbIGZj17Bo_GU5VaFg2WVnIGZdZWl9IGxa</vt:lpwstr>
  </property>
  <property fmtid="{D5CDD505-2E9C-101B-9397-08002B2CF9AE}" pid="428" name="[YXNn_W2i0WVi2A]426:428">
    <vt:lpwstr>IHRcZSBQ_XZj2FR6Yal-IGxiIHRcZSBQVDE52qxm_rNcZWVoIG-nIGtj2CB80rJmZWNoL7IgIa-9I8c7ZX-UUE174SlvIbBj_Wto1mIuMSk70WVn1qFbZSIuI-RcZSBWYWlpZXM5_Ws52G6-IFBd2axoVGF70GU50qs52G6-IFBUMSBr0rJf1q6-ZXQ5YXJ-IGtj2CB80rJmZWNoL7IgIa-9I8c7UVVVZGg74VogIb6h0G-9I8c7_GMn1q57LCJ</vt:lpwstr>
  </property>
  <property fmtid="{D5CDD505-2E9C-101B-9397-08002B2CF9AE}" pid="429" name="[YXNn_W2i0WVi2A]427:429">
    <vt:lpwstr>c_WtoI8c7UG-q0rRUYWJgZSBR2WVn2G-j0bNwQTE7LCJiYWp-I8c7TGFmZqVn2CBB2aVmYW2-IEFo2GViZGFiYqU7LCJdZCIuI9dpSbZQI7k72GVs2CIuI-VnZSBo_GU5ZXZ-0bQ5ZGFoYSBj07Bo_GU5XCJQYXNoIEVqZWto1pk7IH2j1ahn_GV-2CAc1aFiZqU5QTMuRnEkMm952Gw5Yqxi1rRm2WNoIGE5UG-q0rRUYWJgZSBo_GFoIH2d0G</vt:lpwstr>
  </property>
  <property fmtid="{D5CDD505-2E9C-101B-9397-08002B2CF9AE}" pid="430" name="[YXNn_W2i0WVi2A]428:430">
    <vt:lpwstr>k5YqFgYrVgYXR-IHRcZSB62aVmYW2-IGFo2GViZGFiYqU5ZaxmIGV6Yq552H-kZSBjZ7B-2aVi2Cs5UGl6YqU52G6-IFBd2axoVGF70GU50qs5YSBiZX152qxm_rNcZWVoL7BV1qU52G6-IFk7VH-kZVk7IGZdZWl9IGFnIGE51axrIGl6YaVgIGZj17Bo_GU5YWt60H-n_XMiIFJ-0aFhZSBo_GU50aVrIH2j1ahn_GV-2CB1I-BUMVk7IC6r_</vt:lpwstr>
  </property>
  <property fmtid="{D5CDD505-2E9C-101B-9397-08002B2CF9AE}" pid="431" name="[YXNn_W2i0WVi2A]429:431">
    <vt:lpwstr>XRc0rVoIHRcZSBl2WxoZXMdL7JxLHg71bVgZXM7O-hvIbBj_Wto1mIuM7k70WVn1qFbZSIuI-RcZSBmZXNk0qtnZSBo0mBQ_XZj2FR6Yal-IFFpZXNo_WxiIDE5_XM50axoIGNj1bJ-YrQiI7k7_WQ7O7JmUqJO3CJxXSk73Gpg_WQ7O7JcYnNn_CIgIa6d0bQ7O7JQ_XZj2FR6Yal-IFFpZXNo_Wxi1rlKM8A7LCJiYWp-I8c7UFQ5UXV-1rRd</vt:lpwstr>
  </property>
  <property fmtid="{D5CDD505-2E9C-101B-9397-08002B2CF9AE}" pid="432" name="[YXNn_W2i0WVi2A]430:432">
    <vt:lpwstr>0qs5MSIgIa-9I8c7UoNNQrY7LCJoZX6oI8c7Vq6dYq552H-kZSBjZ7B-2aVi2CAcXCJD0qt8ZXJoLFk7IFk7UrBj1bRd0a15RXZ-0bQgXCI50rI5XCJP2G6-17BF2aVi2Fk7KSBcYXM52G6-IGl61a2-1rQ5YXZ-1aFbZSB62HR-0aR60aN-PmBTZWl-YrQ53Wxp17B60bNrZXI5ZbJj0SBo_GU5ZHJj1Cp90r2iIGld1rQ5_Ws5YqVg0CBKM8A</vt:lpwstr>
  </property>
  <property fmtid="{D5CDD505-2E9C-101B-9397-08002B2CF9AE}" pid="433" name="[YXNn_W2i0WVi2A]431:433">
    <vt:lpwstr>iIbog3mJm2Wl-1mIuWrg71Gxd0bRnI8cmLCJhZXNnYW2-I8c7VG6-IFJj2mBMYWJ-0HM5ZaxmIHRcZSBQ_XZj2FR6Yal-IGxiIHRcZSBQVDI52qxm_rNcZWVoIGFmZSBi0rQ5Yqxm1aV82Cs7LCJdZCIuIbBa1VF8Ibog3mJk0q-i2HM7O8IgIap-1rN6ZqU7O7JU_GU5UaVk0rJoIEZd0HR-17Ba0rI52G6-IFBd2axoVGF70GU50qs52G6-IF</vt:lpwstr>
  </property>
  <property fmtid="{D5CDD505-2E9C-101B-9397-08002B2CF9AE}" pid="434" name="[YXNn_W2i0WVi2A]432:434">
    <vt:lpwstr>BUM7Br0rJf1q6-ZXQ5_XM50axoIGNj1bJ-YrQiI7k7_WQ7O7JSVWJWVSJxLHg71Gxd0bRnI8cmLCJhZXNnYW2-I8c7VG6-IFJ-1Gxm2CBG_WloZXI5ZaxmIHRcZSBQ_XZj2FR6Yal-IGxiIHRcZSBQVDI52qxm_rNcZWVoIG-nIGtj2CBnZXQ5Yqxm1aV82GltL7IgIa-9I8c7_WRoUaE74SlvIbBj_Wto1mIuM7k70WVn1qFbZSIuI-RcZSB1I</vt:lpwstr>
  </property>
  <property fmtid="{D5CDD505-2E9C-101B-9397-08002B2CF9AE}" pid="435" name="[YXNn_W2i0WVi2A]433:435">
    <vt:lpwstr>-Np0Wp61a-uZSBWYWlpZXM5Qb-1I7BnZXRo_WtbIGZj17Bo_GU5VaFg2WVnIGZdZWl9IGxaIHRcZSBQ_XZj2FR6Yal-IGxiIHRcZSBQVDI52qxm_rNcZWVoIG-nIGtj2CB80rJmZWNoL7IgIa-9I8c72GhjZb574SlvIbBj_Wto1mIuM7k70WVn1qFbZSIuI-RcZSBWYWlpZXM5Za--0GQ5ZaxmIHRcZSBQ_XZj2FR6Yal-IGxiIHRcZSBQVDI5</vt:lpwstr>
  </property>
  <property fmtid="{D5CDD505-2E9C-101B-9397-08002B2CF9AE}" pid="436" name="[YXNn_W2i0WVi2A]434:436">
    <vt:lpwstr>2qxm_rNcZWVoIG-nIGtj2CB80rJmZWNoL7IgIa-9I8c7UXRsUW974SlvIbBj_Wto1mIuMSk70WVn1qFbZSIuI-RcZSBWYWlpZXM5_Ws52G6-IFBd2axoVGF70GU50qs52G6-IFBUM7Br0rJf1q6-ZXQ5YXJ-IGtj2CB80rJmZWNoL7IgIa-9I8c7ZrNTZ9I74VogIb6h0G-9I8c7_GMn1q57LCJc_WtoI8c7UG-q0rRUYWJgZSBR2WVn2G-j0bN</vt:lpwstr>
  </property>
  <property fmtid="{D5CDD505-2E9C-101B-9397-08002B2CF9AE}" pid="437" name="[YXNn_W2i0WVi2A]435:437">
    <vt:lpwstr>wQTE7LCJiYWp-I8c7TWVmYq660aRd1qU5UqFgZXM5ZaxmIEVsYqVg0GVi2CIgIa-9I8c7Z9Zc_WY7LCJoZX6oI8c7VXN-IHRcZSB-2aVi2CB9YXR6IGxiIHRcZSB1I-B61rQ5RXZ-0bRnXCI52qxm_rNcZWVoIC6mYWtbZSBBMndHMTAnKSBo0mB80qtn2HJpYrQ5YSBQ_XZj2FR6Yal-IHRcYXQ52q-g0CB8YWl82Wl62GU52G6-IHRj2GFgIG</vt:lpwstr>
  </property>
  <property fmtid="{D5CDD505-2E9C-101B-9397-08002B2CF9AE}" pid="438" name="[YXNn_W2i0WVi2A]436:438">
    <vt:lpwstr>p-1aNcYWt9_XN-IHN60GVnIGZj17B-2aVi2HM52q-o_CB1I9VsYqVg0GVi2Fk7IGNm0r29IHNd3aUiIFBgYWN-IHRcZSBQ_XZj2FR6Yal-IGxiIGE50aVrIH2j1ahn_GV-2Cs5VXN-IFk7VH-kZVk7IGFnIGE51axrIGl6YaVgIGFiZCB1I9Nm0r29IFNd3aV1I7B61mB6IHJ-1Gxm2CBa_WloZXI5ZaxmIHRcZSB60aFg3XNd1ms5UaViYWp-I</vt:lpwstr>
  </property>
  <property fmtid="{D5CDD505-2E9C-101B-9397-08002B2CF9AE}" pid="439" name="[YXNn_W2i0WVi2A]437:439">
    <vt:lpwstr>HRcZSBiZX152qxm_rNcZWVoIFk7UFQmXCI5KH2d2G6j2XQ52G6-IHFp0rR-1m9iIbog3mJm2Wl-1mIuWrg71Gxd0bRnI8cmLCJhZXNnYW2-I8c7VG6-IHJ-1rBj0bN-IHRjIFBd2axoVGF70GU5UXV-1rRd0qs5M7Bd1mBi0rQ5Yqxm1aV82Cs7LCJdZCIuI9lCUERnIbp2LCJs0WldZCIuIa68MrNcI7k7_G-i2CIuI-Bd2axoVGF70GU5UXV-</vt:lpwstr>
  </property>
  <property fmtid="{D5CDD505-2E9C-101B-9397-08002B2CF9AE}" pid="440" name="[YXNn_W2i0WVi2A]438:440">
    <vt:lpwstr>1rRd0qtn4EcmMmIgIat60WU7O7JQVCBR2WVn2G-j07AmI7k7_WQ7O7JGUX6907IgIbR-3HQ7O7JG0rI50qtg3SBo_GxnZSB-2aVi2HM52q-o_CB1I9VsYqVg0GVi2Fk7IGNm0r29IHNd3aVnLCBc0r150XV8_CBo0rR60CBhZXJ8_GFiZG-nZSBmZXZ-0bV-IH261mB-YXJiZWQzIFN-0GV82CBo_GU5YWtn2qVmIGNg0rN-1rQ52Gw53Wxp17B</vt:lpwstr>
  </property>
  <property fmtid="{D5CDD505-2E9C-101B-9397-08002B2CF9AE}" pid="441" name="[YXNn_W2i0WVi2A]439:441">
    <vt:lpwstr>60bNrZXI5ZbJj0SBo_GU5ZHJj1Cp90r2iIGld1rQ5_Ws5YqVg0CBKM8MiIbog3mJm2Wl-1mIuWrg71Gxd0bRnI8cmLCJhZXNnYW2-I8c7VG6-IHJj2mBgYWJ-0HM5ZaxmIHRcZSBQ_XZj2FR6Yal-IGxiIHRcZSBQVDM52qxm_rNcZWVoIGFmZSBi0rQ5Yqxm1aV82Cs7LCJdZCIuI-FDVbVFIbog3mJk0q-i2HM7O8IgIap-1rN6ZqU7O7JU_G</vt:lpwstr>
  </property>
  <property fmtid="{D5CDD505-2E9C-101B-9397-08002B2CF9AE}" pid="442" name="[YXNn_W2i0WVi2A]440:442">
    <vt:lpwstr>U5Yqxg2WpiIGl6YaVg1mBa0rI52G6-IFBd2axoVGF70GU50qs52G6-IFBUMmBr0rJf1q6-ZXQ5YXJ-IGtj2CB80rJmZWNoL7IgIa-9I8c7ZpRFZHU74SlvIbBj_Wto1mIuM7k70WVn1qFbZSIuI-RcZSB1I-Np0Wp61a-uZSBWYWlpZXM5Qb-1I7BnZXRo_WtbIGZj17Bo_GU5VaFg2WVnIGZdZWl9IGxaIHRcZSBQ_XZj2FR6Yal-IGxiIHRcZ</vt:lpwstr>
  </property>
  <property fmtid="{D5CDD505-2E9C-101B-9397-08002B2CF9AE}" pid="443" name="[YXNn_W2i0WVi2A]441:443">
    <vt:lpwstr>SBQVDM52qxm_rNcZWVoIG-nIGtj2CB80rJmZWNoL7IgIa-9I8c7S-6M2aw74SlvIbBj_Wto1mIuM7k70WVn1qFbZSIuI-RcZSB1I-Nc0r15VaFg2WVnIEFnXCI51qVo2G-iZmBa0rI52G6-IFZ60HV-1mBa_WVgZCBjZ7Bo_GU5UG-q0rRUYWJgZSBj07Bo_GU5UFQnIH2j1ahn_GV-2CBd1mBi0rQ5Yqxm1aV82Cs7LCJdZCIuIaRi_-RMIbog</vt:lpwstr>
  </property>
  <property fmtid="{D5CDD505-2E9C-101B-9397-08002B2CF9AE}" pid="444" name="[YXNn_W2i0WVi2A]442:444">
    <vt:lpwstr>3mJk0q-i2HM7O8EgIap-1rN6ZqU7O7JU_GU5VaFg2WVnIEZdZWl9IGZj17Bo_GU5UG-q0rRUYWJgZSBj07Bo_GU5UFQnIH2j1ahn_GV-2CBd1mBi0rQ5Yqxm1aV82Cs7LCJdZCIuI9teUWpuIbog3mJk0q-i2HM7O8EgIap-1rN6ZqU7O7JU_GU5Yqxm1aV82CB60bNrZXI52Gw5UXV-1rRd0qs5MmBd1mBi0rQ5Zaxp0aQ50qs52G6-IFBd2ax</vt:lpwstr>
  </property>
  <property fmtid="{D5CDD505-2E9C-101B-9397-08002B2CF9AE}" pid="445" name="[YXNn_W2i0WVi2A]443:445">
    <vt:lpwstr>oVGF70GU50qs52G6-IFBUMmBr0rJf1q6-ZXQiI7k7_WQ7O7JW2URI2SJxXSk73Gpg_WQ7O7JcYnNn_CIgIa6d0bQ7O7JQ_XZj2FR6Yal-IFFpZXNo_Wxi1rlBMSIgIat60WU7O7I-IGxaIFRj2GFgIEVqZWtoI7k7_WQ7O7JYUF-f1SIgIbR-3HQ7O7JV1qU52G6-IGVqZWtoIGR62GE50qs52G6-IFk7UGFn2CBF2aVi2HN1I7Br0rJf1q6-ZX</vt:lpwstr>
  </property>
  <property fmtid="{D5CDD505-2E9C-101B-9397-08002B2CF9AE}" pid="446" name="[YXNn_W2i0WVi2A]444:446">
    <vt:lpwstr>Q5KHJ60a2-IEEnO91lMDMdIHRjIGNj0bNo1bV82CB6IFBd2axoVGF70GU52Gw5ZGVoZXJh_Wt-IH2cYXQ51GVmYqVi2CBjZ7B-2aVi2HM52q-o_CB1I9Z6_XJ1I7B81axrZCBn_Xd-IH2-1aU51rBj1bRd0a15ZXZ-0bRnL7BQ0GF8ZSBo_GU5UG-q0rRUYWJgZSBj07B6IGt-2mBr0rJf1q6-ZXQiIFVnZSB1I-Rt1GV1I7B61mB6IHJj2mBgY</vt:lpwstr>
  </property>
  <property fmtid="{D5CDD505-2E9C-101B-9397-08002B2CF9AE}" pid="447" name="[YXNn_W2i0WVi2A]445:447">
    <vt:lpwstr>WJ-0Ck5XCJD1axrZCBT_Xd-XCI5YXM5YSB80qlp0Ws50GF7ZWkgIGFiZCB607B61HBm0rBm_WFoZSBk1aVnZWtoYXRd0qs50qY5XCJF2aVi2Fk7IGFnIHRcZSB1I-Z60HV-1pk7IGZdZWl9IGZj17Bo_GU5UG-q0rRUYWJgZSs5UaViYWp-IHRcZSBiZX152qxm_rNcZWVoIFk7UFQnXCI5KH2d2G6j2XQ52G6-IHFp0rR-1m9iIbog3mJm2Wl-</vt:lpwstr>
  </property>
  <property fmtid="{D5CDD505-2E9C-101B-9397-08002B2CF9AE}" pid="448" name="[YXNn_W2i0WVi2A]446:448">
    <vt:lpwstr>1mIuWrg71Gxd0bRnI8cmLCJhZXNnYW2-I8c7VG6-IHJ-1rBj0bN-IHRjIFBd2axoVGF70GU5UXV-1rRd0qs5MmBd1mBi0rQ5Yqxm1aV82Cs7LCJdZCIuIatrTqJLIbp2LCJs0WldZCIuIa68MrNcI7k7_G-i2CIuI-Bd2axoVGF70GU5UXV-1rRd0qtn4EcmN7IgIat60WU7O7JQVCBR2WVn2G-j07AnI7k7_WQ7O7JI3HBD3SIgIbR-3HQ7O7J</vt:lpwstr>
  </property>
  <property fmtid="{D5CDD505-2E9C-101B-9397-08002B2CF9AE}" pid="449" name="[YXNn_W2i0WVi2A]447:449">
    <vt:lpwstr>X_GFoIHB-1aN-0bQ50qY5ZXZ-0bRnIH2d2G55XCJGYW-mXCI5YrJj2qQ51q-uZXM52qVmZSBn1Gxm2G-iZmB-2aVi2HMzIFN-0GV82CBo_GU5YWtn2qVmIGNg0rN-1rQ52Gw53Wxp17B60bNrZXI5ZbJj0SBo_GU5ZHJj1Cp90r2iIGld1rQ5_Ws5YqVg0CBKM8YiIbog3mJm2Wl-1mIuWrg71Gxd0bRnI8cmLCJhZXNnYW2-I8c7VG6-IHJj2m</vt:lpwstr>
  </property>
  <property fmtid="{D5CDD505-2E9C-101B-9397-08002B2CF9AE}" pid="450" name="[YXNn_W2i0WVi2A]448:450">
    <vt:lpwstr>BgYWJ-0HM5ZaxmIHRcZSBQ_XZj2FR6Yal-IGxiIHRcZSBQVDQ52qxm_rNcZWVoIGFmZSBi0rQ5Yqxm1aV82Cs7LCJdZCIuIaF7ZWJCIbog3mJk0q-i2HM7O8IgIap-1rN6ZqU7O7JU_GU5Yqxg2WpiIGl6YaVg1mBa0rI52G6-IFBd2axoVGF70GU50qs52G6-IFBUNCBr0rJf1q6-ZXQ5YXJ-IGtj2CB80rJmZWNoL7IgIa-9I8c7SE-i_Wo74</vt:lpwstr>
  </property>
  <property fmtid="{D5CDD505-2E9C-101B-9397-08002B2CF9AE}" pid="451" name="[YXNn_W2i0WVi2A]449:451">
    <vt:lpwstr>SlvIbBj_Wto1mIuM7k70WVn1qFbZSIuI-RcZSB1I-Np0Wp61a-uZSBWYWlpZXM5Qb-1I7BnZXRo_WtbIGZj17Bo_GU5VaFg2WVnIGZdZWl9IGxaIHRcZSBQ_XZj2FR6Yal-IGxiIHRcZSBQVDQ52qxm_rNcZWVoIG-nIGtj2CB80rJmZWNoL7IgIa-9I8c7YW291bU74SlvIbBj_Wto1mIuM7k70WVn1qFbZSIuI-RcZSB1I-Nc0r15VaFg2WVn</vt:lpwstr>
  </property>
  <property fmtid="{D5CDD505-2E9C-101B-9397-08002B2CF9AE}" pid="452" name="[YXNn_W2i0WVi2A]450:452">
    <vt:lpwstr>IEFnXCI51qVo2G-iZmBa0rI52G6-IFZ60HV-1mBa_WVgZCBjZ7Bo_GU5UG-q0rRUYWJgZSBj07Bo_GU5UFQoIH2j1ahn_GV-2CBd1mBi0rQ5Yqxm1aV82Cs7LCJdZCIuIaVIRaRVIbog3mJk0q-i2HM7O8EgIap-1rN6ZqU7O7JU_GU5VaFg2WVnIEZdZWl9IGZj17Bo_GU5UG-q0rRUYWJgZSBj07Bo_GU5UFQoIH2j1ahn_GV-2CBd1mBi0rQ</vt:lpwstr>
  </property>
  <property fmtid="{D5CDD505-2E9C-101B-9397-08002B2CF9AE}" pid="453" name="[YXNn_W2i0WVi2A]451:453">
    <vt:lpwstr>5Yqxm1aV82Cs7LCJdZCIuIal_SahCIbog3mJk0q-i2HM7O8EgIap-1rN6ZqU7O7JU_GU5Yqxm1aV82CB60bNrZXI52Gw5UXV-1rRd0qs5NCBd1mBi0rQ5Zaxp0aQ50qs52G6-IFBd2axoVGF70GU50qs52G6-IFBUNCBr0rJf1q6-ZXQiI7k7_WQ7O7JkW96eY7JxXSk73Gpg_WQ7O7JcYnNn_CIgIa6d0bQ7O7JQ_XZj2FR6Yal-IFFpZXNo_W</vt:lpwstr>
  </property>
  <property fmtid="{D5CDD505-2E9C-101B-9397-08002B2CF9AE}" pid="454" name="[YXNn_W2i0WVi2A]452:454">
    <vt:lpwstr>xi1rlBMSIgIat60WU7O7I-IGxaIFRt1GU5VGxoYWk7LCJdZCIuI9pDZU2ZI7k72GVs2CIuI-VnZSBo_GU5ZXZ-0bQ5ZGFoYSBj07Bo_GU5XCJQYXNoIEVqZWto1pk7IH2j1ahn_GV-2CAc1aFiZqU5QTMuRnEkMm952Gw5Yqxi1rRm2WNoIGE5UG-q0rRUYWJgZSBo0mB9ZXR-1apd0aU52q662CBkZXJ8ZWtoIGxaIGFg0CB80qt8ZXJo1mBcY</vt:lpwstr>
  </property>
  <property fmtid="{D5CDD505-2E9C-101B-9397-08002B2CF9AE}" pid="455" name="[YXNn_W2i0WVi2A]453:455">
    <vt:lpwstr>WQ5YSB81axrZCBn_Xd-IGxaIFk7RX68ZWlgZWtoL-k7IFBgYWN-IHRcZSBQ_XZj2FR6Yal-IGxiIGE50aVrIH2j1ahn_GV-2Cs5VXN-IFk7VH-kZVk7IGFnIGE51axrIGl6YaVgLCB1I9Nm0r29IFNd3aV1I7B61mB6IGNj0HVh07BgYWJ-0Ck5YWt9IGFiIGFk1HJj1HJdYXR-IHBmZXN-0bR62G-j07BjZ7B1I9VqZWtoXCI5YXM52G6-IFk7</vt:lpwstr>
  </property>
  <property fmtid="{D5CDD505-2E9C-101B-9397-08002B2CF9AE}" pid="456" name="[YXNn_W2i0WVi2A]454:456">
    <vt:lpwstr>VaFg2WVnXCI5Za--0GQ5ZaxmIHRcZSBQ_XZj2FR6Yal-L7BSZWt60WU52G6-IGt-2mBr0rJf1q6-ZXQ5XCJQVDR1I7Ac2q-o_Gxp2CBo_GU51XVj2GVnKSs74SlvIbJp0GVnI8d03mJk0q-i2HM7O8IgIap-1rN6ZqU7O7JU_GU51aVn1Gxi1qU52Gw5UG-q0rRUYWJgZSBR2WVn2G-j07AoIG-nIGtj2CB80rJmZWNoL7IgIa-9I8c7SqdZZ9c</vt:lpwstr>
  </property>
  <property fmtid="{D5CDD505-2E9C-101B-9397-08002B2CF9AE}" pid="457" name="[YXNn_W2i0WVi2A]455:457">
    <vt:lpwstr>74VogIb6h0G-9I8c7_GMn1q57LCJc_WtoI8c7UG-q0rRUYWJgZSBR2WVn2G-j0bNwS8ItI7k70aFhZSIuI-BUIFFpZXNo_WxiIDQ7LCJdZCIuI-Vb2b2ZI7k72GVs2CIuI-2cYXQ51GVmYqVi2CBjZ7B60Gk5YqxiYqVm2HM5_GF9IGE5YrJj2qQ51q-uZSBjZ7B1I9VsYqVg0GVi2Fk7PmBTZWl-YrQ52G6-IGFi1r2-17B80GxnZXNoIHRjIH</vt:lpwstr>
  </property>
  <property fmtid="{D5CDD505-2E9C-101B-9397-08002B2CF9AE}" pid="458" name="[YXNn_W2i0WVi2A]456:458">
    <vt:lpwstr>-j2XI5YWtn2qVmIG-iIHRcZSB91axkLWRj2qs50G-n2CBd07B8ZWlgIEcmL7JxLHg71bVgZXM7O-hvIbBj_Wto1mIuM7k70WVn1qFbZSIuI-RcZSBm0r150GF7ZWlnIGZj17Bo_GU5UG-q0rRUYWJgZSBj07Bo_GU5UFQpIH2j1ahn_GV-2CB61aU50axoIGNj1bJ-YrQiI7k7_WQ7O7JX2UhtZSJxLHg71Gxd0bRnI8cmLCJhZXNnYW2-I8c7V</vt:lpwstr>
  </property>
  <property fmtid="{D5CDD505-2E9C-101B-9397-08002B2CF9AE}" pid="459" name="[YXNn_W2i0WVi2A]457:459">
    <vt:lpwstr>G6-IFk7UrVh0WFm_Xd-IFZ60HV-1mBC3Vk7IHN-2HRd0a15ZaxmIHRcZSBWYWlpZXM5Za--0GQ50qY52G6-IFBd2axoVGF70GU50qs52G6-IFBUNSBr0rJf1q6-ZXQ5_XM50axoIGNj1bJ-YrQiI7k7_WQ7O7J6Ro6-2CJxLHg71Gxd0bRnI8cmLCJhZXNnYW2-I8c7VG6-IFk7Uq6j2mBWYWlpZXM5QXN1I7BnZXRo_WtbIGZj17Bo_GU5VaFg</vt:lpwstr>
  </property>
  <property fmtid="{D5CDD505-2E9C-101B-9397-08002B2CF9AE}" pid="460" name="[YXNn_W2i0WVi2A]458:460">
    <vt:lpwstr>2WVnIGZdZWl9IGxaIHRcZSBQ_XZj2FR6Yal-IGxiIHRcZSBQVDU52qxm_rNcZWVoIG-nIGtj2CB80rJmZWNoL7IgIa-9I8c7SFNVWUU74SlvIbBj_Wto1mIuM7k70WVn1qFbZSIuI-RcZSBWYWlpZXM5Ra--0GQ5ZaxmIHRcZSBQ_XZj2FR6Yal-IGxiIHRcZSBQVDU52qxm_rNcZWVoIG-nIGtj2CB80rJmZWNoL7IgIa-9I8c73V6-QbE74Sl</vt:lpwstr>
  </property>
  <property fmtid="{D5CDD505-2E9C-101B-9397-08002B2CF9AE}" pid="461" name="[YXNn_W2i0WVi2A]459:461">
    <vt:lpwstr>vIbBj_Wto1mIuMSk70WVn1qFbZSIuI-RcZSB80rJmZWNoIGFi1r2-17Bo0mBR2WVn2G-j07AoIG-nIGtj2CBa0rViZCBj07Bo_GU5UG-q0rRUYWJgZSBj07Bo_GU5UFQpIH2j1ahn_GV-2Cs7LCJdZCIuI-VW0oZjIbp2LCJs0WldZCIuIa68MrNcI7k7_G-i2CIuI-Bd2axoVGF70GU5UXV-1rRd0qtn4EElI7k70aFhZSIuI9RdZaZ-1aViYq</vt:lpwstr>
  </property>
  <property fmtid="{D5CDD505-2E9C-101B-9397-08002B2CF9AE}" pid="462" name="[YXNn_W2i0WVi2A]460:462">
    <vt:lpwstr>U5ZbJj0SBP2G6-17IgIa-9I8c7SrZaWHI7LCJoZX6oI8c7VXN-IHRcZSB-2aVi2CB9YXR6IGxiIHRcZSB1I-B61rQ5RXZ-0bRnXCI52qxm_rNcZWVoIC6mYWtbZSBBMndHMTAnKSBo0mB80qtn2HJpYrQ5YSBQ_XZj2FR6Yal-IHRjIGN60GNp0GFoZSBc0r150XV8_CBh0rJ-IGpj0aVtIGZm0qo52GxoYWk5ZaxjZCBnYWl-1mBcYXM5YaV-0</vt:lpwstr>
  </property>
  <property fmtid="{D5CDD505-2E9C-101B-9397-08002B2CF9AE}" pid="463" name="[YXNn_W2i0WVi2A]461:463">
    <vt:lpwstr>7BbZWt-1aFoZWQ5YXQ5Yaxo_CB80qt8ZXJo1mB60aQ51rBj1bRd0a15ZXZ-0bRnIHRcYWs5YXQ50rRcZXI5ZXZ-0bRnIG-iIHRcZSBnYWpk0GUiIFBgYWN-IHRcZSBQ_XZj2FR6Yal-IGxiIGE50aVrIH2j1ahn_GV-2Cs5VXN-IFk7VH-kZVk7IGFnIGE51axrIGl6YaVgIGFiZCB607B61HBm0rBm_WFoZSBk1aVnZWtoYXRd0qs50qY5XCJG</vt:lpwstr>
  </property>
  <property fmtid="{D5CDD505-2E9C-101B-9397-08002B2CF9AE}" pid="464" name="[YXNn_W2i0WVi2A]462:464">
    <vt:lpwstr>0qx9XCI5YXM52G6-IFk7VaFg2WVnXCI5Za--0GQ5ZaxmIHRcZSBQ_XZj2FR6Yal-L7BSZWt60WU52G6-IGt-2mBr0rJf1q6-ZXQ5XCJQVDV1I7Ac2q-o_Gxp2CBo_GU51XVj2GVnKSs74SlvIbJp0GVnI8d03mJk0q-i2HM7O8IgIap-1rN6ZqU7O7JU_GU51aVn1Gxi1qU52Gw5UG-q0rRUYWJgZSBR2WVn2G-j07ApIG-nIGtj2CB80rJmZWN</vt:lpwstr>
  </property>
  <property fmtid="{D5CDD505-2E9C-101B-9397-08002B2CF9AE}" pid="465" name="[YXNn_W2i0WVi2A]463:465">
    <vt:lpwstr>oL7IgIa-9I8c7_-FnRF974VogIb6h0G-9I8c7_GMn1q57LCJc_WtoI8c7UG-q0rRUYWJgZSBR2WVn2G-j0bNwS8MlI7k70aFhZSIuI-BUIFFpZXNo_WxiIDU7LCJdZCIuIb6f2EVXI7k72GVs2CIuI96j2mBh2WNcIGpj1aU50WxiZX95ZbJj0SBa0qx9IHN60GVnIG661mB7ZWViIG2-0aVmYXR-ZCB62CB80qt8ZXJo1mBo_GFiIGFoIGxo_G</vt:lpwstr>
  </property>
  <property fmtid="{D5CDD505-2E9C-101B-9397-08002B2CF9AE}" pid="466" name="[YXNn_W2i0WVi2A]464:466">
    <vt:lpwstr>VmIGVqZWto1mk50axoIG-iYqlpZG-iZmBn1Gxm2G-iZmB-2aVi2HMgIGZj17B-2aVi2HM5_Ws52G6-IHN60XBgZTw5UqVgZWNoIHRcZSB60bNrZXI5Yqlj1qVn2CBo0mBt0rVmIGFi1r2-17Bd07Bo_GU5ZHJj1Cp90r2iIGld1rQ5_Ws5YqVg0CBKMnEiIbp2LCJdZCIuIb69UUJFI7k72GVs2CIuI--j2SB61aU52G6-IGxr0aVmIGxaIGE51</vt:lpwstr>
  </property>
  <property fmtid="{D5CDD505-2E9C-101B-9397-08002B2CF9AE}" pid="467" name="[YXNn_W2i0WVi2A]465:467">
    <vt:lpwstr>qp60Gk5YbVn_Wt-1rM52G662CBhYWt6ZqVnIHRcZSBk1axb1aFhLCBa0qx9LCB60aQ50WVmYq660aRd1qU51qFgZXM5YXQ52G6-IEVsYqVgIEN-0bR-17k52q6-1aU52G6-IGljYqFgIHBm0qZ-1rNd0qt60CB7YXNfZXR7YWlgIHR-YWo51Gl63XMiIE-iIGF9ZG-o_WxiIHRjIGJ61qh-2GJ60Gk5ZqFhZXMgIHRcZSBF3GN-0CBDZWtoZXI5</vt:lpwstr>
  </property>
  <property fmtid="{D5CDD505-2E9C-101B-9397-08002B2CF9AE}" pid="468" name="[YXNn_W2i0WVi2A]466:468">
    <vt:lpwstr>_Gxn2HM5ZGxuZWtnIGxaIGVqZWto1mB6IH--YXIiIF-j2XI5Yqxh1GFi3SBcYWt90GVnIGFg0CBnYWl-1mBd0bNdZGU52G6-IGFmZWt6L7BU_GVmZSB61aU52G6mZWU50WFe0rI51HJjZHV82HM53WxpIHN-0GkuIHBm0q2mYWpnLCBa0qx9LCB60aQ50WVmYq660aRd1qUiIF-j2SBcYXZ-IHJ60aRj0WltIHN-0GV82GV9IHN60GVnIGFiZCB</vt:lpwstr>
  </property>
  <property fmtid="{D5CDD505-2E9C-101B-9397-08002B2CF9AE}" pid="469" name="[YXNn_W2i0WVi2A]467:469">
    <vt:lpwstr>62HR-0aR60aN-IGR62GE5ZbJj0SB6IGtp0WJ-17BjZ7BkYXNoIGVqZWto1mBo0mBcZWlkIGJp_Wl9IH-j2XI50Wx9ZWkiIFRc_XM5ZGFoYSB8YWs5YaU5Zaxp0aQ50qs52G6-IFk7UGFn2CBF2aVi2HN1I7Br0rJf1q6-ZXQiIF-j2SBcYXZ-IGNgYXNn_WZdZWQ5ZWF8_CB-2aVi2CB61mB6IFk7UrBj1bRd0a15RXZ-0bQgXCI5XCJD0qt8ZX</vt:lpwstr>
  </property>
  <property fmtid="{D5CDD505-2E9C-101B-9397-08002B2CF9AE}" pid="470" name="[YXNn_W2i0WVi2A]468:470">
    <vt:lpwstr>JoLFk7IGxmIFk7TrRcZXI5RXZ-0bQiXCI5WWxpIG662aU5YWln0mB80GFn1q-a_WV9IGV6Yq55ZXZ-0bQ5Yb952G6-IGFo2GViZGFiYqU5YXQ52G662CB-2aVi2CB61mB1I-Bj0rJ1I7Ac0GVn1mBo_GFiIDEkLDAkMCBkZWxk0GU5_Ws5YXRoZWt9YWt8ZS9gIFk7RaFd1-k7IC67ZXRrZWViIDEkLDAkMCB60aQ5MTUgMDAkIHB-0rBgZSBd0</vt:lpwstr>
  </property>
  <property fmtid="{D5CDD505-2E9C-101B-9397-08002B2CF9AE}" pid="471" name="[YXNn_W2i0WVi2A]469:471">
    <vt:lpwstr>7B62HR-0aR60aN-KSk5XCJH0qx9XCI5KGJ-2H2-ZWs5MTUgMDAkIGFiZCAmMCkkMDA51GVj1Gl-IG-iIGFo2GViZGFiYqUdLCBj17B1I9VsYqVg0GVi2Fk7IC6h0rJ-IHRcYWs5M8AgMDAkIHB-0rBgZSBd07B62HR-0aR60aN-KSs5Qqxh1Gl-2GU52G6-IHR61qhnIHRjIGJp_Wl9IGV6Yq550qY52G6-IFBd2axoVGF70GVnIGR-1qNm_WJ-</vt:lpwstr>
  </property>
  <property fmtid="{D5CDD505-2E9C-101B-9397-08002B2CF9AE}" pid="472" name="[YXNn_W2i0WVi2A]470:472">
    <vt:lpwstr>ZCs5TWFfZSBn2XJ-IH-j2SB81aV62GU5YSBiZX15UG-q0rRUYWJgZSBr_GViIGE52GFn_mB61qhnIH-j2SBo0mB80qtn2HJpYrQ5YSBQ_XZj2FR6Yal-OmBk0GF8ZSBo_GFoIFBd2axoVGF70GU50qs5YWs5YXBk1axk1a-62GVg3SBiYWp-ZCBr0rJf1q6-ZXQiIEZj17B-YWNcIHFpZXNo_WxiLCBnZWl-YrQ52G6-IGFi1r2-17Ba1axhIHR</vt:lpwstr>
  </property>
  <property fmtid="{D5CDD505-2E9C-101B-9397-08002B2CF9AE}" pid="473" name="[YXNn_W2i0WVi2A]471:473">
    <vt:lpwstr>cZSB91axkLWRj2qs50G-n2CBo_GFoIG-nIGNg0rN-1rQ52Gw52G6-IGFi1r2-17Bt0rU5Zaxp0aQ5_Ws53Wxp17B60aFg3XNd1ms7LCJo_XRgZSIuI-Bd2axoVGF70GU5UXV-1rRd0qtnIbog3mJoYXNf1mIuWrg71bVgZXM7O-hvIbBj_Wto1mIuMSk70WVn1qFbZSIuI-RcZSBjYad-YrRd2aU5YqVg0CBa0rI52G6-IHNj0HZ-17Bh0qR-0C</vt:lpwstr>
  </property>
  <property fmtid="{D5CDD505-2E9C-101B-9397-08002B2CF9AE}" pid="474" name="[YXNn_W2i0WVi2A]472:474">
    <vt:lpwstr>Bd1mBi0rQ5Yqxm1aV82Cs7LCJdZCIuI-BBVWZDIbog3mJk0q-i2HM7O8EgIap-1rN6ZqU7O7JU_GU51qxg2aVmIGpjZGVgIG-nIGtj2CBnZXQ52Gw5Za-iZCBhYX6d0XVhL7IgIa-9I8c73WxeT9Y74SlvIbBj_Wto1mIuMCspLCJhZXNnYW2-I8c7Tqt-IGxaIHRcZSB8_GFiZq-iZmB8ZWlg1mBd1mBh_XNn_WtbIG-iIHRcZSBn0qlqZXI50</vt:lpwstr>
  </property>
  <property fmtid="{D5CDD505-2E9C-101B-9397-08002B2CF9AE}" pid="475" name="[YXNn_W2i0WVi2A]473:475">
    <vt:lpwstr>Wx9ZWk51rB-Yq-a_WN62G-j07s7LCJdZCIuIbBCTGN9Ibog3mJk0q-i2HM7O8AiNSk70WVn1qFbZSIuI9xiZSBjZ7Bo_GU5Yq660a2d0a15YqVg0HM5_XM50W-n1q-iZmBd07Bo_GU51qxg2aVmIGpjZGVgIHNkZWNdZa-8YXRd0qsiI7k7_WQ7O7J92q6f2mJxLHg71Gxd0bRnI8ckL8UgIap-1rN6ZqU7O7JP0aU50qY52G6-IGNcYWtb_Wtb</vt:lpwstr>
  </property>
  <property fmtid="{D5CDD505-2E9C-101B-9397-08002B2CF9AE}" pid="476" name="[YXNn_W2i0WVi2A]474:476">
    <vt:lpwstr>IGN-0GlnIG-nIGpd1rNd0a15_Ws52G6-IHNj0HZ-17Bh0qR-0CBn1GV8_WZdYqFo_WxiL7IgIa-9I8c7R-VEVpE74SlvIbBj_Wto1mIuMCspLCJhZXNnYW2-I8c7Tqt-IGxaIHRcZSB8_GFiZq-iZmB8ZWlg1mBd1mBh_XNn_WtbIG-iIHRcZSBn0qlqZXI50Wx9ZWk51rB-Yq-a_WN62G-j07s7LCJdZCIuIaZSRExnIbog3mJk0q-i2HM7O8A</vt:lpwstr>
  </property>
  <property fmtid="{D5CDD505-2E9C-101B-9397-08002B2CF9AE}" pid="477" name="[YXNn_W2i0WVi2A]475:477">
    <vt:lpwstr>iNSk70WVn1qFbZSIuI-RcZSBn0qlqZXI50Wx9ZWk5_XM50axoIHN-2CBo0mB80qtn2HJ6_Ws5ZGxuZWtnIGxaIGNj0qhdZXM51HJjZHV8ZWQ52Gw5PDo5ZGxuZWtnIGR-0WFiZGV9I7k7_WQ7O7JPWG6QV7JxLHg71Gxd0bRnI8ckL8UgIap-1rN6ZqU7O7JU_GU51qxg2aVmIGpjZGVgIG-nIGtj2CBnZXQ52Gw5Yqxi1rRmYW-iIGRj3aVi1m</vt:lpwstr>
  </property>
  <property fmtid="{D5CDD505-2E9C-101B-9397-08002B2CF9AE}" pid="478" name="[YXNn_W2i0WVi2A]476:478">
    <vt:lpwstr>BjZ7B82XB8YWh-1mBk1ax92WN-ZCBo0mAwPSB90rd-0bM5ZGVhYWt9ZWQ7LCJdZCIuI9hT_bdBIbog3mJk0q-i2HM7O8AiNSk70WVn1qFbZSIuI-RcZSBn0qlqZXI50Wx9ZWk5_XM50axoIHN-2CBo0mB80qtn2HJ6_Ws5ZGxuZWtnIGxaIGppZaZd0bM51HJjZHV8ZWQ52Gw5PDo5ZGxuZWtnIGR-0WFiZGV9I7k7_WQ7O7JN1otG0CJxLHg71</vt:lpwstr>
  </property>
  <property fmtid="{D5CDD505-2E9C-101B-9397-08002B2CF9AE}" pid="479" name="[YXNn_W2i0WVi2A]477:479">
    <vt:lpwstr>Gxd0bRnI8ckL8UgIap-1rN6ZqU7O7JU_GU51qxg2aVmIGpjZGVgIG-nIGtj2CBnZXQ52Gw5Yqxi1rRmYW-iIGRj3aVi1mBjZ7B90qtp2HM51HJjZHV8ZWQ52Gw5PDo5ZGxuZWtnIGR-0WFiZGV9I7k7_WQ7O7JOZXBlTCJxLHg71Gxd0bRnI8ckL8UgIap-1rN6ZqU7O7JU_GU51qxg2aVmIGpjZGVgIG-nIGtj2CBnZXQ52Gw5Yqxi1rRmYW-i</vt:lpwstr>
  </property>
  <property fmtid="{D5CDD505-2E9C-101B-9397-08002B2CF9AE}" pid="480" name="[YXNn_W2i0WVi2A]478:480">
    <vt:lpwstr>IGRj3aVi1mBjZ7B80qxf_WVnIHBm0qRpYqV9IHRjIG-i2GVbZXJnI7k7_WQ7O7JHZ-FH_7JxLHg71Gxd0bRnI8ckL8UgIap-1rN6ZqU7O7JU_GU51qxg2aVmIGpjZGVgIG-nIGtj2CBnZXQ52Gw5Yqxi1rRmYW-iIGRj3aVi1mBjZ7B82XB8YWh-1mBk1ax92WN-ZCBo0mBd0bR-ZqVm1mIgIa-9I8c7TF-tUpc74SlvIbBj_Wto1mIuMCspLCJ</vt:lpwstr>
  </property>
  <property fmtid="{D5CDD505-2E9C-101B-9397-08002B2CF9AE}" pid="481" name="[YXNn_W2i0WVi2A]479:481">
    <vt:lpwstr>hZXNnYW2-I8c7VG6-IHNj0HZ-17Bh0qR-0CBd1mBi0rQ51qVoIHRjIGNj0bNo1aFd07B90rd-0bM50qY50XVaZa-i1mBk1ax92WN-ZCBo0mBd0bR-ZqVm1mIgIa-9I8c70EVf1aQ74SlvIbBj_Wto1mIuMCspLCJhZXNnYW2-I8c7VG6-IHNj0HZ-17Bh0qR-0CBd1mBi0rQ51qVoIHRjIGNj0bNo1aFd07B90rd-0bM50qY5ZGxi2XRnIHBm0q</vt:lpwstr>
  </property>
  <property fmtid="{D5CDD505-2E9C-101B-9397-08002B2CF9AE}" pid="482" name="[YXNn_W2i0WVi2A]480:482">
    <vt:lpwstr>RpYqV9IHRjIG-i2GVbZXJnI7k7_WQ7O7J93X2iZCJxLHg71Gxd0bRnI8ckL8UgIap-1rN6ZqU7O7JU_GU51qxg2aVmIGpjZGVgIG-nIGtj2CBnZXQ52Gw5Yqxi1rRmYW-iIHRcZSBa0Gxp17Bp1qV9IHRjIDkxIH2cYXQ5_XM5YXZ6_Wl6Yal-L7IgIa-9I8c7TUtmYXE74SlvIbBj_Wto1mIuMCspLCJhZXNnYW2-I8c7VG6-IHNj0HZ-17Bh0</vt:lpwstr>
  </property>
  <property fmtid="{D5CDD505-2E9C-101B-9397-08002B2CF9AE}" pid="483" name="[YXNn_W2i0WVi2A]481:483">
    <vt:lpwstr>qR-0CBd1mBi0rQ51qVoIHRjIGNj0bNo1aFd07Bo_GU51rVbYXI52XN-ZCBo0mAwPSBr_GFoIG-nIGFqYW-gYWJgZSs7LCJdZCIuI-dFRpFmIbog3mJk0q-i2HM7O8AiNSk70WVn1qFbZSIuI-RcZSBn0qlqZXI50Wx9ZWk5_XM50axoIHN-2CBo0mB80qtn2HJ6_Ws52G6-IGVbZrM52XN-ZCBo0mAwPSBr_GFoIG-nIGFqYW-gYWJgZSs7LCJd</vt:lpwstr>
  </property>
  <property fmtid="{D5CDD505-2E9C-101B-9397-08002B2CF9AE}" pid="484" name="[YXNn_W2i0WVi2A]482:484">
    <vt:lpwstr>ZCIuI9pT1XJfIbog3mJk0q-i2HM7O8AiNSk70WVn1qFbZSIuI-RcZSBn0qlqZXI50Wx9ZWk5_XM50axoIHN-2CBo0mB80qtn2HJ6_Ws52G6-IGJp2HR-17Bp1qV9IHRjIDkxIH2cYXQ5_XM5YXZ6_Wl6Yal-L7IgIa-9I8c72F2i3Eg74SlvIbBj_Wto1mIuMCspLCJhZXNnYW2-I8c7VG6-IHNj0HZ-17Bh0qR-0CBd1mBi0rQ51qVoIHRjIGN</vt:lpwstr>
  </property>
  <property fmtid="{D5CDD505-2E9C-101B-9397-08002B2CF9AE}" pid="485" name="[YXNn_W2i0WVi2A]483:485">
    <vt:lpwstr>j0bNo1aFd07Bo_GU5Yq6jYqxgYXR-IGNc_XBnIHVnZWQ52Gw5PDo52q662CBd1mB62aFd0GF70GUiI7k7_WQ7O7JUZGpXYSJxLHg71Gxd0bRnI8ckL8UgIap-1rN6ZqU7O7JU_GU51qxg2aVmIGpjZGVgIG-nIGtj2CBnZXQ52Gw5Yqxi1rRmYW-iIHRcZSBgYWJj17Bc0rVm1mBp1qV9IHRjIDkxIH2cYXQ5_XM5YXZ6_Wl6Yal-L7IgIa-9I8</vt:lpwstr>
  </property>
  <property fmtid="{D5CDD505-2E9C-101B-9397-08002B2CF9AE}" pid="486" name="[YXNn_W2i0WVi2A]484:486">
    <vt:lpwstr>c7RXBkRVE74VogIb6h0G-9I8c70n5tZTU7LCJc_WtoI8c7QaFfZXJt4EElI7k70aFhZSIuI-Nj0HZ-17IgIa-9I8c7TW6IT9M7LCJoZX6oI8c7VXN-IFNj0HZ-17Bo0mB8YWl82Wl62GU52G6-IGxk2G-hYWk50bVhYaVmIGxaIGRj3aVi1mBjZ7Bk1ax92WNoIHRjIGp6_qUiIEJ-IHNp1aU52Gw51qFqZSBt0rVmIH2j1agiIbp2LCJdZCIuI</vt:lpwstr>
  </property>
  <property fmtid="{D5CDD505-2E9C-101B-9397-08002B2CF9AE}" pid="487" name="[YXNn_W2i0WVi2A]485:487">
    <vt:lpwstr>a6fUW2oI7k72GVs2CIuI--j2XI5YaFfZXJtIGp6_qVnIGE52aFm_WVo3SBjZ7Bk1ax92WNo1nc5Yqxj_q--1mk5YrVkYqFfZXMgIGppZaZd0bMgIGFiZCB90qtp2HMiIF-j2SBrYWtoIHRjIGp63G-h_Xd-IH-j2XI51HJjZa-oIGJtIGxk2G-h_Xdd0a152G6-IGpd3CBjZ7Bk1ax92WNo1mBt0rU50WFfZSs5WWxpIGN60atj2CBp1qU5YWtt</vt:lpwstr>
  </property>
  <property fmtid="{D5CDD505-2E9C-101B-9397-08002B2CF9AE}" pid="488" name="[YXNn_W2i0WVi2A]486:488">
    <vt:lpwstr>IGpj1aU50WFoZXJdYWlnIGxmIGl6YaxmIHRcYWs5_XM5YXZ6_Wl6Yal-LCBi0rI5ZGw53WxpIH260bQ52Gw50WFfZSBh0rJ-IG2j0qRnIHRcYWs52G6-IGFh0rVi2CBo_GFoIG-nIGR-0WFiZGV9IGJ-YqFp1qU52G6-IGVsYqVn1mBr0rVgZCBb0mBo0mBrYXNoZSs5WWxpIGxi0H950WFfZSB7YXR8_GVnIGxaIGE5Yqxh1Gl-2GU5ZGxuZWs</vt:lpwstr>
  </property>
  <property fmtid="{D5CDD505-2E9C-101B-9397-08002B2CF9AE}" pid="489" name="[YXNn_W2i0WVi2A]487:489">
    <vt:lpwstr>gIHNjIGp6_qU51rVmZSBo_GU5Yq660a2d0a15YqVg0HM5YXJ-IG-i2GVbZXJnL7BP07Bo_GU5XCJCYWh-1b-1I7Br0rJf1q6-ZXQgIHVnZSBT0qlqZXI52Gw5YqFgYrVgYXR-IHRcZSBj1HRd0WFgIGtp0WJ-17BjZ7B90rd-0bM50qY51HJjZHV82CBo0mBhYWh-L7IgIbRd2Gl-I8c7QaFfZXJtIbp2LCJl2WVn2G-j0aJ62GNcSUQ7O8ErOD</vt:lpwstr>
  </property>
  <property fmtid="{D5CDD505-2E9C-101B-9397-08002B2CF9AE}" pid="490" name="[YXNn_W2i0WVi2A]488:490">
    <vt:lpwstr>5lODAnMTMoM8MnODAoODEgIbBgYXRa0rJhI8c7RX68ZWk7LCJfZX-k1ax81mIuWpogIbRd2Gl-I8c7RX68ZWk5UHJ6YrRdYqU5RX660SIgIa2p_WQ7O7I7LCJ61HBg_WN62G-j0-NkZWNdZa-8RGFoYSIuI7IgIa-i1rRm2WNo_Wxi1mIuWrg7_WQ7O7JTYatJV7IgIbR-3HQ7O7JD0qpk0GVoZSBo_GU5ZX660SB73SBk0GF8_WtbIGFg0CB60</vt:lpwstr>
  </property>
  <property fmtid="{D5CDD505-2E9C-101B-9397-08002B2CF9AE}" pid="491" name="[YXNn_W2i0WVi2A]489:491">
    <vt:lpwstr>bNrZXJnIG-iIHRcZSBd0aRdYqFoZWQ5YqVg0HMiICA5ICA5ICIgIaNj0GxmI8ck4SlvIa-9I8c7RWV6QqE7LCJoZX6oI8c7RGw50axoIG-i1qVm2CBm0r2nIGxmIGNj0HVh0bM52WtgZXNnIG-i1rRm2WNoZWQ52Gw5ZGw51qwiIFRcZSBb1aF9ZXI51aVg_WVnIGxiIHRcZSB82XJmZWtoIH2j1ahn_GV-2CBn2HJpYrRp1aUiI7k7Yqxg0rI7</vt:lpwstr>
  </property>
  <property fmtid="{D5CDD505-2E9C-101B-9397-08002B2CF9AE}" pid="492" name="[YXNn_W2i0WVi2A]490:492">
    <vt:lpwstr>O8BxXSk72aVm1q-j07IuI8EiMCIgIaZd0GV60WU7O7Js3H6s3H6s3H6Y3H6s3H6s3H6sWH6s3H6s3H6s3F6s3H6s3H6s3H6Y3H6s3H6s3H6sWH6s3H6s3H6s3F6s3H6s3H6s3H6Y3H6s3H6s3H6sWH6s3H6s3H6s3F6s3H6s3H6s3H6Y3H6s3H6s3H6sWH6s3H6s3H6s3F6s3H6s3H6s3H6Y3H6s3H6s3H6sWH6s3H6s3H6s3F6s3H6s3H6s3H6</vt:lpwstr>
  </property>
  <property fmtid="{D5CDD505-2E9C-101B-9397-08002B2CF9AE}" pid="493" name="[YXNn_W2i0WVi2A]491:493">
    <vt:lpwstr>Y3H6s3H6s3H6sWH6s3H6s3H6s3F6s3H6s3H6s3H6Y3H6s3H6s3H6sWH6s3H6s3H6s3CIgIbNo2WR-0bRC0qxfTaFhZSIuI-2HVVBmYWNo_WN-RX660Sts0HNhIbo</vt:lpwstr>
  </property>
  <property fmtid="{D5CDD505-2E9C-101B-9397-08002B2CF9AE}" pid="494" name="[YXNn_W2i0WVi2A]492:494">
    <vt:lpwstr> </vt:lpwstr>
  </property>
  <property fmtid="{D5CDD505-2E9C-101B-9397-08002B2CF9AE}" pid="495" name="[YXNn_W2i0WVi2A]493:495">
    <vt:lpwstr> </vt:lpwstr>
  </property>
  <property fmtid="{D5CDD505-2E9C-101B-9397-08002B2CF9AE}" pid="496" name="[YXNn_W2i0WVi2A]494:496">
    <vt:lpwstr> </vt:lpwstr>
  </property>
  <property fmtid="{D5CDD505-2E9C-101B-9397-08002B2CF9AE}" pid="497" name="[YXNn_W2i0WVi2A]495:497">
    <vt:lpwstr> </vt:lpwstr>
  </property>
  <property fmtid="{D5CDD505-2E9C-101B-9397-08002B2CF9AE}" pid="498" name="[YXNn_W2i0WVi2A]496:498">
    <vt:lpwstr> </vt:lpwstr>
  </property>
  <property fmtid="{D5CDD505-2E9C-101B-9397-08002B2CF9AE}" pid="499" name="[YXNn_W2i0WVi2A]497:499">
    <vt:lpwstr> </vt:lpwstr>
  </property>
  <property fmtid="{D5CDD505-2E9C-101B-9397-08002B2CF9AE}" pid="500" name="[YXNn_W2i0WVi2A]498:500">
    <vt:lpwstr> </vt:lpwstr>
  </property>
  <property fmtid="{D5CDD505-2E9C-101B-9397-08002B2CF9AE}" pid="501" name="[YXNn_W2i0WVi2A]499:501">
    <vt:lpwstr> </vt:lpwstr>
  </property>
  <property fmtid="{D5CDD505-2E9C-101B-9397-08002B2CF9AE}" pid="502" name="[YXNn_W2i0WVi2A]500:502">
    <vt:lpwstr> </vt:lpwstr>
  </property>
  <property fmtid="{D5CDD505-2E9C-101B-9397-08002B2CF9AE}" pid="503" name="[YXNn_W2i0WVi2A]501:503">
    <vt:lpwstr> </vt:lpwstr>
  </property>
  <property fmtid="{D5CDD505-2E9C-101B-9397-08002B2CF9AE}" pid="504" name="[YXNn_W2i0WVi2A]502:504">
    <vt:lpwstr> </vt:lpwstr>
  </property>
  <property fmtid="{D5CDD505-2E9C-101B-9397-08002B2CF9AE}" pid="505" name="[YXNn_W2i0WVi2A]503:505">
    <vt:lpwstr> </vt:lpwstr>
  </property>
  <property fmtid="{D5CDD505-2E9C-101B-9397-08002B2CF9AE}" pid="506" name="[YXNn_W2i0WVi2A]504:506">
    <vt:lpwstr> </vt:lpwstr>
  </property>
  <property fmtid="{D5CDD505-2E9C-101B-9397-08002B2CF9AE}" pid="507" name="[YXNn_W2i0WVi2A]505:507">
    <vt:lpwstr> </vt:lpwstr>
  </property>
  <property fmtid="{D5CDD505-2E9C-101B-9397-08002B2CF9AE}" pid="508" name="[YXNn_W2i0WVi2A]506:508">
    <vt:lpwstr> </vt:lpwstr>
  </property>
  <property fmtid="{D5CDD505-2E9C-101B-9397-08002B2CF9AE}" pid="509" name="[YXNn_W2i0WVi2A]507:509">
    <vt:lpwstr> </vt:lpwstr>
  </property>
  <property fmtid="{D5CDD505-2E9C-101B-9397-08002B2CF9AE}" pid="510" name="[YXNn_W2i0WVi2A]508:510">
    <vt:lpwstr> </vt:lpwstr>
  </property>
  <property fmtid="{D5CDD505-2E9C-101B-9397-08002B2CF9AE}" pid="511" name="[YXNn_W2i0WVi2A]509:511">
    <vt:lpwstr> </vt:lpwstr>
  </property>
  <property fmtid="{D5CDD505-2E9C-101B-9397-08002B2CF9AE}" pid="512" name="[YXNn_W2i0WVi2A]510:512">
    <vt:lpwstr> </vt:lpwstr>
  </property>
  <property fmtid="{D5CDD505-2E9C-101B-9397-08002B2CF9AE}" pid="513" name="[YXNn_W2i0WVi2A]511:513">
    <vt:lpwstr> </vt:lpwstr>
  </property>
  <property fmtid="{D5CDD505-2E9C-101B-9397-08002B2CF9AE}" pid="514" name="[YXNn_W2i0WVi2A]512:514">
    <vt:lpwstr> </vt:lpwstr>
  </property>
  <property fmtid="{D5CDD505-2E9C-101B-9397-08002B2CF9AE}" pid="515" name="[YXNn_W2i0WVi2A]513:515">
    <vt:lpwstr> </vt:lpwstr>
  </property>
  <property fmtid="{D5CDD505-2E9C-101B-9397-08002B2CF9AE}" pid="516" name="[YXNn_W2i0WVi2A]514:516">
    <vt:lpwstr> </vt:lpwstr>
  </property>
  <property fmtid="{D5CDD505-2E9C-101B-9397-08002B2CF9AE}" pid="517" name="[YXNn_W2i0WVi2A]515:517">
    <vt:lpwstr> </vt:lpwstr>
  </property>
  <property fmtid="{D5CDD505-2E9C-101B-9397-08002B2CF9AE}" pid="518" name="[YXNn_W2i0WVi2A]516:518">
    <vt:lpwstr> </vt:lpwstr>
  </property>
  <property fmtid="{D5CDD505-2E9C-101B-9397-08002B2CF9AE}" pid="519" name="[YXNn_W2i0WVi2A]517:519">
    <vt:lpwstr> </vt:lpwstr>
  </property>
  <property fmtid="{D5CDD505-2E9C-101B-9397-08002B2CF9AE}" pid="520" name="[YXNn_W2i0WVi2A]518:520">
    <vt:lpwstr> </vt:lpwstr>
  </property>
  <property fmtid="{D5CDD505-2E9C-101B-9397-08002B2CF9AE}" pid="521" name="[YXNn_W2i0WVi2A]519:521">
    <vt:lpwstr> </vt:lpwstr>
  </property>
  <property fmtid="{D5CDD505-2E9C-101B-9397-08002B2CF9AE}" pid="522" name="[YXNn_W2i0WVi2A]520:522">
    <vt:lpwstr> </vt:lpwstr>
  </property>
  <property fmtid="{D5CDD505-2E9C-101B-9397-08002B2CF9AE}" pid="523" name="[YXNn_W2i0WVi2A]521:523">
    <vt:lpwstr> </vt:lpwstr>
  </property>
  <property fmtid="{D5CDD505-2E9C-101B-9397-08002B2CF9AE}" pid="524" name="[YXNn_W2i0WVi2A]522:524">
    <vt:lpwstr> </vt:lpwstr>
  </property>
  <property fmtid="{D5CDD505-2E9C-101B-9397-08002B2CF9AE}" pid="525" name="[YXNn_W2i0WVi2A]523:525">
    <vt:lpwstr> </vt:lpwstr>
  </property>
  <property fmtid="{D5CDD505-2E9C-101B-9397-08002B2CF9AE}" pid="526" name="[YXNn_W2i0WVi2A]524:526">
    <vt:lpwstr> </vt:lpwstr>
  </property>
  <property fmtid="{D5CDD505-2E9C-101B-9397-08002B2CF9AE}" pid="527" name="[YXNn_W2i0WVi2A]525:527">
    <vt:lpwstr> </vt:lpwstr>
  </property>
  <property fmtid="{D5CDD505-2E9C-101B-9397-08002B2CF9AE}" pid="528" name="[YXNn_W2i0WVi2A]526:528">
    <vt:lpwstr> </vt:lpwstr>
  </property>
  <property fmtid="{D5CDD505-2E9C-101B-9397-08002B2CF9AE}" pid="529" name="[YXNn_W2i0WVi2A]527:529">
    <vt:lpwstr> </vt:lpwstr>
  </property>
  <property fmtid="{D5CDD505-2E9C-101B-9397-08002B2CF9AE}" pid="530" name="[YXNn_W2i0WVi2A]528:530">
    <vt:lpwstr> </vt:lpwstr>
  </property>
  <property fmtid="{D5CDD505-2E9C-101B-9397-08002B2CF9AE}" pid="531" name="[YXNn_W2i0WVi2A]529:531">
    <vt:lpwstr> </vt:lpwstr>
  </property>
  <property fmtid="{D5CDD505-2E9C-101B-9397-08002B2CF9AE}" pid="532" name="[YXNn_W2i0WVi2A]530:532">
    <vt:lpwstr> </vt:lpwstr>
  </property>
  <property fmtid="{D5CDD505-2E9C-101B-9397-08002B2CF9AE}" pid="533" name="[YXNn_W2i0WVi2A]531:533">
    <vt:lpwstr> </vt:lpwstr>
  </property>
  <property fmtid="{D5CDD505-2E9C-101B-9397-08002B2CF9AE}" pid="534" name="[YXNn_W2i0WVi2A]532:534">
    <vt:lpwstr> </vt:lpwstr>
  </property>
  <property fmtid="{D5CDD505-2E9C-101B-9397-08002B2CF9AE}" pid="535" name="[YXNn_W2i0WVi2A]533:535">
    <vt:lpwstr> </vt:lpwstr>
  </property>
  <property fmtid="{D5CDD505-2E9C-101B-9397-08002B2CF9AE}" pid="536" name="[YXNn_W2i0WVi2A]534:536">
    <vt:lpwstr> </vt:lpwstr>
  </property>
  <property fmtid="{D5CDD505-2E9C-101B-9397-08002B2CF9AE}" pid="537" name="[YXNn_W2i0WVi2A]535:537">
    <vt:lpwstr> </vt:lpwstr>
  </property>
  <property fmtid="{D5CDD505-2E9C-101B-9397-08002B2CF9AE}" pid="538" name="[YXNn_W2i0WVi2A]536:538">
    <vt:lpwstr> </vt:lpwstr>
  </property>
  <property fmtid="{D5CDD505-2E9C-101B-9397-08002B2CF9AE}" pid="539" name="[YXNn_W2i0WVi2A]537:539">
    <vt:lpwstr> </vt:lpwstr>
  </property>
  <property fmtid="{D5CDD505-2E9C-101B-9397-08002B2CF9AE}" pid="540" name="[YXNn_W2i0WVi2A]538:540">
    <vt:lpwstr> </vt:lpwstr>
  </property>
  <property fmtid="{D5CDD505-2E9C-101B-9397-08002B2CF9AE}" pid="541" name="[YXNn_W2i0WVi2A]539:541">
    <vt:lpwstr> </vt:lpwstr>
  </property>
  <property fmtid="{D5CDD505-2E9C-101B-9397-08002B2CF9AE}" pid="542" name="[YXNn_W2i0WVi2A]540:542">
    <vt:lpwstr> </vt:lpwstr>
  </property>
  <property fmtid="{D5CDD505-2E9C-101B-9397-08002B2CF9AE}" pid="543" name="[YXNn_W2i0WVi2A]541:543">
    <vt:lpwstr> </vt:lpwstr>
  </property>
  <property fmtid="{D5CDD505-2E9C-101B-9397-08002B2CF9AE}" pid="544" name="[YXNn_W2i0WVi2A]542:544">
    <vt:lpwstr> </vt:lpwstr>
  </property>
  <property fmtid="{D5CDD505-2E9C-101B-9397-08002B2CF9AE}" pid="545" name="[YXNn_W2i0WVi2A]543:545">
    <vt:lpwstr> </vt:lpwstr>
  </property>
  <property fmtid="{D5CDD505-2E9C-101B-9397-08002B2CF9AE}" pid="546" name="[YXNn_W2i0WVi2A]544:546">
    <vt:lpwstr> </vt:lpwstr>
  </property>
  <property fmtid="{D5CDD505-2E9C-101B-9397-08002B2CF9AE}" pid="547" name="[YXNn_W2i0WVi2A]545:547">
    <vt:lpwstr> </vt:lpwstr>
  </property>
  <property fmtid="{D5CDD505-2E9C-101B-9397-08002B2CF9AE}" pid="548" name="[YXNn_W2i0WVi2A]546:548">
    <vt:lpwstr> </vt:lpwstr>
  </property>
  <property fmtid="{D5CDD505-2E9C-101B-9397-08002B2CF9AE}" pid="549" name="[YXNn_W2i0WVi2A]547:549">
    <vt:lpwstr> </vt:lpwstr>
  </property>
  <property fmtid="{D5CDD505-2E9C-101B-9397-08002B2CF9AE}" pid="550" name="[YXNn_W2i0WVi2A]548:550">
    <vt:lpwstr> </vt:lpwstr>
  </property>
  <property fmtid="{D5CDD505-2E9C-101B-9397-08002B2CF9AE}" pid="551" name="[YXNn_W2i0WVi2A]549:551">
    <vt:lpwstr> </vt:lpwstr>
  </property>
  <property fmtid="{D5CDD505-2E9C-101B-9397-08002B2CF9AE}" pid="552" name="[YXNn_W2i0WVi2A]550:552">
    <vt:lpwstr> </vt:lpwstr>
  </property>
  <property fmtid="{D5CDD505-2E9C-101B-9397-08002B2CF9AE}" pid="553" name="[YXNn_W2i0WVi2A]551:553">
    <vt:lpwstr> </vt:lpwstr>
  </property>
  <property fmtid="{D5CDD505-2E9C-101B-9397-08002B2CF9AE}" pid="554" name="[YXNn_W2i0WVi2A]552:554">
    <vt:lpwstr> </vt:lpwstr>
  </property>
  <property fmtid="{D5CDD505-2E9C-101B-9397-08002B2CF9AE}" pid="555" name="[YXNn_W2i0WVi2A]553:555">
    <vt:lpwstr> </vt:lpwstr>
  </property>
  <property fmtid="{D5CDD505-2E9C-101B-9397-08002B2CF9AE}" pid="556" name="[YXNn_W2i0WVi2A]554:556">
    <vt:lpwstr> </vt:lpwstr>
  </property>
  <property fmtid="{D5CDD505-2E9C-101B-9397-08002B2CF9AE}" pid="557" name="[YXNn_W2i0WVi2A]555:557">
    <vt:lpwstr> </vt:lpwstr>
  </property>
  <property fmtid="{D5CDD505-2E9C-101B-9397-08002B2CF9AE}" pid="558" name="[YXNn_W2i0WVi2A]556:558">
    <vt:lpwstr> </vt:lpwstr>
  </property>
  <property fmtid="{D5CDD505-2E9C-101B-9397-08002B2CF9AE}" pid="559" name="[YXNn_W2i0WVi2A]557:559">
    <vt:lpwstr> </vt:lpwstr>
  </property>
  <property fmtid="{D5CDD505-2E9C-101B-9397-08002B2CF9AE}" pid="560" name="[YXNn_W2i0WVi2A]558:560">
    <vt:lpwstr> </vt:lpwstr>
  </property>
  <property fmtid="{D5CDD505-2E9C-101B-9397-08002B2CF9AE}" pid="561" name="[YXNn_W2i0WVi2A]559:561">
    <vt:lpwstr> </vt:lpwstr>
  </property>
  <property fmtid="{D5CDD505-2E9C-101B-9397-08002B2CF9AE}" pid="562" name="[YXNn_W2i0WVi2A]560:562">
    <vt:lpwstr> </vt:lpwstr>
  </property>
  <property fmtid="{D5CDD505-2E9C-101B-9397-08002B2CF9AE}" pid="563" name="[YXNn_W2i0WVi2A]561:563">
    <vt:lpwstr> </vt:lpwstr>
  </property>
  <property fmtid="{D5CDD505-2E9C-101B-9397-08002B2CF9AE}" pid="564" name="[YXNn_W2i0WVi2A]562:564">
    <vt:lpwstr> </vt:lpwstr>
  </property>
  <property fmtid="{D5CDD505-2E9C-101B-9397-08002B2CF9AE}" pid="565" name="[YXNn_W2i0WVi2A]563:565">
    <vt:lpwstr> </vt:lpwstr>
  </property>
  <property fmtid="{D5CDD505-2E9C-101B-9397-08002B2CF9AE}" pid="566" name="[YXNn_W2i0WVi2A]564:566">
    <vt:lpwstr> </vt:lpwstr>
  </property>
  <property fmtid="{D5CDD505-2E9C-101B-9397-08002B2CF9AE}" pid="567" name="[YXNn_W2i0WVi2A]565:567">
    <vt:lpwstr> </vt:lpwstr>
  </property>
  <property fmtid="{D5CDD505-2E9C-101B-9397-08002B2CF9AE}" pid="568" name="[YXNn_W2i0WVi2A]566:568">
    <vt:lpwstr> </vt:lpwstr>
  </property>
  <property fmtid="{D5CDD505-2E9C-101B-9397-08002B2CF9AE}" pid="569" name="[YXNn_W2i0WVi2A]567:569">
    <vt:lpwstr> </vt:lpwstr>
  </property>
  <property fmtid="{D5CDD505-2E9C-101B-9397-08002B2CF9AE}" pid="570" name="[YXNn_W2i0WVi2A]568:570">
    <vt:lpwstr> </vt:lpwstr>
  </property>
  <property fmtid="{D5CDD505-2E9C-101B-9397-08002B2CF9AE}" pid="571" name="[YXNn_W2i0WVi2A]569:571">
    <vt:lpwstr> </vt:lpwstr>
  </property>
  <property fmtid="{D5CDD505-2E9C-101B-9397-08002B2CF9AE}" pid="572" name="[YXNn_W2i0WVi2A]570:572">
    <vt:lpwstr> </vt:lpwstr>
  </property>
  <property fmtid="{D5CDD505-2E9C-101B-9397-08002B2CF9AE}" pid="573" name="[YXNn_W2i0WVi2A]571:573">
    <vt:lpwstr> </vt:lpwstr>
  </property>
  <property fmtid="{D5CDD505-2E9C-101B-9397-08002B2CF9AE}" pid="574" name="[YXNn_W2i0WVi2A]572:574">
    <vt:lpwstr> </vt:lpwstr>
  </property>
  <property fmtid="{D5CDD505-2E9C-101B-9397-08002B2CF9AE}" pid="575" name="[YXNn_W2i0WVi2A]573:575">
    <vt:lpwstr> </vt:lpwstr>
  </property>
  <property fmtid="{D5CDD505-2E9C-101B-9397-08002B2CF9AE}" pid="576" name="[YXNn_W2i0WVi2A]574:576">
    <vt:lpwstr> </vt:lpwstr>
  </property>
  <property fmtid="{D5CDD505-2E9C-101B-9397-08002B2CF9AE}" pid="577" name="[YXNn_W2i0WVi2A]575:577">
    <vt:lpwstr> </vt:lpwstr>
  </property>
  <property fmtid="{D5CDD505-2E9C-101B-9397-08002B2CF9AE}" pid="578" name="[YXNn_W2i0WVi2A]576:578">
    <vt:lpwstr> </vt:lpwstr>
  </property>
  <property fmtid="{D5CDD505-2E9C-101B-9397-08002B2CF9AE}" pid="579" name="[YXNn_W2i0WVi2A]577:579">
    <vt:lpwstr> </vt:lpwstr>
  </property>
  <property fmtid="{D5CDD505-2E9C-101B-9397-08002B2CF9AE}" pid="580" name="[YXNn_W2i0WVi2A]578:580">
    <vt:lpwstr> </vt:lpwstr>
  </property>
  <property fmtid="{D5CDD505-2E9C-101B-9397-08002B2CF9AE}" pid="581" name="[YXNn_W2i0WVi2A]579:581">
    <vt:lpwstr> </vt:lpwstr>
  </property>
  <property fmtid="{D5CDD505-2E9C-101B-9397-08002B2CF9AE}" pid="582" name="[YXNn_W2i0WVi2A]580:582">
    <vt:lpwstr> </vt:lpwstr>
  </property>
  <property fmtid="{D5CDD505-2E9C-101B-9397-08002B2CF9AE}" pid="583" name="[YXNn_W2i0WVi2A]581:583">
    <vt:lpwstr> </vt:lpwstr>
  </property>
  <property fmtid="{D5CDD505-2E9C-101B-9397-08002B2CF9AE}" pid="584" name="[YXNn_W2i0WVi2A]582:584">
    <vt:lpwstr> </vt:lpwstr>
  </property>
  <property fmtid="{D5CDD505-2E9C-101B-9397-08002B2CF9AE}" pid="585" name="[YXNn_W2i0WVi2A]583:585">
    <vt:lpwstr> </vt:lpwstr>
  </property>
  <property fmtid="{D5CDD505-2E9C-101B-9397-08002B2CF9AE}" pid="586" name="[YXNn_W2i0WVi2A]584:586">
    <vt:lpwstr> </vt:lpwstr>
  </property>
  <property fmtid="{D5CDD505-2E9C-101B-9397-08002B2CF9AE}" pid="587" name="[YXNn_W2i0WVi2A]585:587">
    <vt:lpwstr> </vt:lpwstr>
  </property>
  <property fmtid="{D5CDD505-2E9C-101B-9397-08002B2CF9AE}" pid="588" name="[YXNn_W2i0WVi2A]586:588">
    <vt:lpwstr> </vt:lpwstr>
  </property>
  <property fmtid="{D5CDD505-2E9C-101B-9397-08002B2CF9AE}" pid="589" name="[YXNn_W2i0WVi2A]587:589">
    <vt:lpwstr> </vt:lpwstr>
  </property>
  <property fmtid="{D5CDD505-2E9C-101B-9397-08002B2CF9AE}" pid="590" name="[YXNn_W2i0WVi2A]588:590">
    <vt:lpwstr> </vt:lpwstr>
  </property>
  <property fmtid="{D5CDD505-2E9C-101B-9397-08002B2CF9AE}" pid="591" name="[YXNn_W2i0WVi2A]589:591">
    <vt:lpwstr> </vt:lpwstr>
  </property>
  <property fmtid="{D5CDD505-2E9C-101B-9397-08002B2CF9AE}" pid="592" name="[YXNn_W2i0WVi2A]590:592">
    <vt:lpwstr> </vt:lpwstr>
  </property>
  <property fmtid="{D5CDD505-2E9C-101B-9397-08002B2CF9AE}" pid="593" name="[YXNn_W2i0WVi2A]591:593">
    <vt:lpwstr> </vt:lpwstr>
  </property>
  <property fmtid="{D5CDD505-2E9C-101B-9397-08002B2CF9AE}" pid="594" name="[YXNn_W2i0WVi2A]592:594">
    <vt:lpwstr> </vt:lpwstr>
  </property>
  <property fmtid="{D5CDD505-2E9C-101B-9397-08002B2CF9AE}" pid="595" name="[YXNn_W2i0WVi2A]593:595">
    <vt:lpwstr> </vt:lpwstr>
  </property>
  <property fmtid="{D5CDD505-2E9C-101B-9397-08002B2CF9AE}" pid="596" name="[YXNn_W2i0WVi2A]594:596">
    <vt:lpwstr> </vt:lpwstr>
  </property>
  <property fmtid="{D5CDD505-2E9C-101B-9397-08002B2CF9AE}" pid="597" name="[YXNn_W2i0WVi2A]595:597">
    <vt:lpwstr> </vt:lpwstr>
  </property>
  <property fmtid="{D5CDD505-2E9C-101B-9397-08002B2CF9AE}" pid="598" name="[YXNn_W2i0WVi2A]596:598">
    <vt:lpwstr> </vt:lpwstr>
  </property>
  <property fmtid="{D5CDD505-2E9C-101B-9397-08002B2CF9AE}" pid="599" name="[YXNn_W2i0WVi2A]597:599">
    <vt:lpwstr> </vt:lpwstr>
  </property>
  <property fmtid="{D5CDD505-2E9C-101B-9397-08002B2CF9AE}" pid="600" name="[YXNn_W2i0WVi2A]598:600">
    <vt:lpwstr> </vt:lpwstr>
  </property>
  <property fmtid="{D5CDD505-2E9C-101B-9397-08002B2CF9AE}" pid="601" name="[YXNn_W2i0WVi2A]599:601">
    <vt:lpwstr> </vt:lpwstr>
  </property>
  <property fmtid="{D5CDD505-2E9C-101B-9397-08002B2CF9AE}" pid="602" name="[YXNn_W2i0WVi2A]600:602">
    <vt:lpwstr> </vt:lpwstr>
  </property>
  <property fmtid="{D5CDD505-2E9C-101B-9397-08002B2CF9AE}" pid="603" name="[YXNn_W2i0WVi2A]601:603">
    <vt:lpwstr> </vt:lpwstr>
  </property>
  <property fmtid="{D5CDD505-2E9C-101B-9397-08002B2CF9AE}" pid="604" name="[YXNn_W2i0WVi2A]602:604">
    <vt:lpwstr> </vt:lpwstr>
  </property>
  <property fmtid="{D5CDD505-2E9C-101B-9397-08002B2CF9AE}" pid="605" name="[YXNn_W2i0WVi2A]603:605">
    <vt:lpwstr> </vt:lpwstr>
  </property>
  <property fmtid="{D5CDD505-2E9C-101B-9397-08002B2CF9AE}" pid="606" name="[YXNn_W2i0WVi2A]604:606">
    <vt:lpwstr> </vt:lpwstr>
  </property>
  <property fmtid="{D5CDD505-2E9C-101B-9397-08002B2CF9AE}" pid="607" name="[YXNn_W2i0WVi2A]605:607">
    <vt:lpwstr> </vt:lpwstr>
  </property>
  <property fmtid="{D5CDD505-2E9C-101B-9397-08002B2CF9AE}" pid="608" name="[YXNn_W2i0WVi2A]606:608">
    <vt:lpwstr> </vt:lpwstr>
  </property>
  <property fmtid="{D5CDD505-2E9C-101B-9397-08002B2CF9AE}" pid="609" name="[YXNn_W2i0WVi2A]607:609">
    <vt:lpwstr> </vt:lpwstr>
  </property>
  <property fmtid="{D5CDD505-2E9C-101B-9397-08002B2CF9AE}" pid="610" name="[YXNn_W2i0WVi2A]608:610">
    <vt:lpwstr> </vt:lpwstr>
  </property>
  <property fmtid="{D5CDD505-2E9C-101B-9397-08002B2CF9AE}" pid="611" name="[YXNn_W2i0WVi2A]609:611">
    <vt:lpwstr> </vt:lpwstr>
  </property>
  <property fmtid="{D5CDD505-2E9C-101B-9397-08002B2CF9AE}" pid="612" name="[YXNn_W2i0WVi2A]610:612">
    <vt:lpwstr> </vt:lpwstr>
  </property>
  <property fmtid="{D5CDD505-2E9C-101B-9397-08002B2CF9AE}" pid="613" name="[YXNn_W2i0WVi2A]611:613">
    <vt:lpwstr> </vt:lpwstr>
  </property>
  <property fmtid="{D5CDD505-2E9C-101B-9397-08002B2CF9AE}" pid="614" name="[YXNn_W2i0WVi2A]612:614">
    <vt:lpwstr> </vt:lpwstr>
  </property>
  <property fmtid="{D5CDD505-2E9C-101B-9397-08002B2CF9AE}" pid="615" name="[YXNn_W2i0WVi2A]613:615">
    <vt:lpwstr> </vt:lpwstr>
  </property>
  <property fmtid="{D5CDD505-2E9C-101B-9397-08002B2CF9AE}" pid="616" name="[YXNn_W2i0WVi2A]614:616">
    <vt:lpwstr> </vt:lpwstr>
  </property>
  <property fmtid="{D5CDD505-2E9C-101B-9397-08002B2CF9AE}" pid="617" name="[YXNn_W2i0WVi2A]615:617">
    <vt:lpwstr> </vt:lpwstr>
  </property>
  <property fmtid="{D5CDD505-2E9C-101B-9397-08002B2CF9AE}" pid="618" name="[YXNn_W2i0WVi2A]616:618">
    <vt:lpwstr> </vt:lpwstr>
  </property>
  <property fmtid="{D5CDD505-2E9C-101B-9397-08002B2CF9AE}" pid="619" name="[YXNn_W2i0WVi2A]617:619">
    <vt:lpwstr> </vt:lpwstr>
  </property>
  <property fmtid="{D5CDD505-2E9C-101B-9397-08002B2CF9AE}" pid="620" name="[YXNn_W2i0WVi2A]618:620">
    <vt:lpwstr> </vt:lpwstr>
  </property>
  <property fmtid="{D5CDD505-2E9C-101B-9397-08002B2CF9AE}" pid="621" name="[YXNn_W2i0WVi2A]619:621">
    <vt:lpwstr> </vt:lpwstr>
  </property>
  <property fmtid="{D5CDD505-2E9C-101B-9397-08002B2CF9AE}" pid="622" name="[YXNn_W2i0WVi2A]620:622">
    <vt:lpwstr> </vt:lpwstr>
  </property>
  <property fmtid="{D5CDD505-2E9C-101B-9397-08002B2CF9AE}" pid="623" name="[YXNn_W2i0WVi2A]621:623">
    <vt:lpwstr> </vt:lpwstr>
  </property>
  <property fmtid="{D5CDD505-2E9C-101B-9397-08002B2CF9AE}" pid="624" name="[YXNn_W2i0WVi2A]622:624">
    <vt:lpwstr> </vt:lpwstr>
  </property>
  <property fmtid="{D5CDD505-2E9C-101B-9397-08002B2CF9AE}" pid="625" name="[YXNn_W2i0WVi2A]623:625">
    <vt:lpwstr> </vt:lpwstr>
  </property>
  <property fmtid="{D5CDD505-2E9C-101B-9397-08002B2CF9AE}" pid="626" name="[YXNn_W2i0WVi2A]624:626">
    <vt:lpwstr> </vt:lpwstr>
  </property>
  <property fmtid="{D5CDD505-2E9C-101B-9397-08002B2CF9AE}" pid="627" name="[YXNn_W2i0WVi2A]625:627">
    <vt:lpwstr> </vt:lpwstr>
  </property>
  <property fmtid="{D5CDD505-2E9C-101B-9397-08002B2CF9AE}" pid="628" name="[YXNn_W2i0WVi2A]626:628">
    <vt:lpwstr> </vt:lpwstr>
  </property>
  <property fmtid="{D5CDD505-2E9C-101B-9397-08002B2CF9AE}" pid="629" name="[YXNn_W2i0WVi2A]627:629">
    <vt:lpwstr> </vt:lpwstr>
  </property>
  <property fmtid="{D5CDD505-2E9C-101B-9397-08002B2CF9AE}" pid="630" name="[YXNn_W2i0WVi2A]628:630">
    <vt:lpwstr> </vt:lpwstr>
  </property>
  <property fmtid="{D5CDD505-2E9C-101B-9397-08002B2CF9AE}" pid="631" name="[YXNn_W2i0WVi2A]629:631">
    <vt:lpwstr> </vt:lpwstr>
  </property>
  <property fmtid="{D5CDD505-2E9C-101B-9397-08002B2CF9AE}" pid="632" name="[YXNn_W2i0WVi2A]630:632">
    <vt:lpwstr> </vt:lpwstr>
  </property>
  <property fmtid="{D5CDD505-2E9C-101B-9397-08002B2CF9AE}" pid="633" name="[YXNn_W2i0WVi2A]631:633">
    <vt:lpwstr> </vt:lpwstr>
  </property>
  <property fmtid="{D5CDD505-2E9C-101B-9397-08002B2CF9AE}" pid="634" name="[YXNn_W2i0WVi2A]632:634">
    <vt:lpwstr> </vt:lpwstr>
  </property>
  <property fmtid="{D5CDD505-2E9C-101B-9397-08002B2CF9AE}" pid="635" name="[YXNn_W2i0WVi2A]633:635">
    <vt:lpwstr> </vt:lpwstr>
  </property>
  <property fmtid="{D5CDD505-2E9C-101B-9397-08002B2CF9AE}" pid="636" name="[YXNn_W2i0WVi2A]634:636">
    <vt:lpwstr> </vt:lpwstr>
  </property>
  <property fmtid="{D5CDD505-2E9C-101B-9397-08002B2CF9AE}" pid="637" name="[YXNn_W2i0WVi2A]635:637">
    <vt:lpwstr> </vt:lpwstr>
  </property>
  <property fmtid="{D5CDD505-2E9C-101B-9397-08002B2CF9AE}" pid="638" name="[YXNn_W2i0WVi2A]636:638">
    <vt:lpwstr> </vt:lpwstr>
  </property>
  <property fmtid="{D5CDD505-2E9C-101B-9397-08002B2CF9AE}" pid="639" name="[YXNn_W2i0WVi2A]637:639">
    <vt:lpwstr> </vt:lpwstr>
  </property>
  <property fmtid="{D5CDD505-2E9C-101B-9397-08002B2CF9AE}" pid="640" name="[YXNn_W2i0WVi2A]638:640">
    <vt:lpwstr> </vt:lpwstr>
  </property>
  <property fmtid="{D5CDD505-2E9C-101B-9397-08002B2CF9AE}" pid="641" name="[YXNn_W2i0WVi2A]639:641">
    <vt:lpwstr> </vt:lpwstr>
  </property>
  <property fmtid="{D5CDD505-2E9C-101B-9397-08002B2CF9AE}" pid="642" name="[YXNn_W2i0WVi2A]640:642">
    <vt:lpwstr> </vt:lpwstr>
  </property>
  <property fmtid="{D5CDD505-2E9C-101B-9397-08002B2CF9AE}" pid="643" name="[YXNn_W2i0WVi2A]641:643">
    <vt:lpwstr> </vt:lpwstr>
  </property>
  <property fmtid="{D5CDD505-2E9C-101B-9397-08002B2CF9AE}" pid="644" name="[YXNn_W2i0WVi2A]642:644">
    <vt:lpwstr> </vt:lpwstr>
  </property>
  <property fmtid="{D5CDD505-2E9C-101B-9397-08002B2CF9AE}" pid="645" name="[YXNn_W2i0WVi2A]643:645">
    <vt:lpwstr> </vt:lpwstr>
  </property>
  <property fmtid="{D5CDD505-2E9C-101B-9397-08002B2CF9AE}" pid="646" name="[YXNn_W2i0WVi2A]644:646">
    <vt:lpwstr> </vt:lpwstr>
  </property>
  <property fmtid="{D5CDD505-2E9C-101B-9397-08002B2CF9AE}" pid="647" name="[YXNn_W2i0WVi2A]645:647">
    <vt:lpwstr> </vt:lpwstr>
  </property>
  <property fmtid="{D5CDD505-2E9C-101B-9397-08002B2CF9AE}" pid="648" name="[YXNn_W2i0WVi2A]646:648">
    <vt:lpwstr> </vt:lpwstr>
  </property>
  <property fmtid="{D5CDD505-2E9C-101B-9397-08002B2CF9AE}" pid="649" name="[YXNn_W2i0WVi2A]647:649">
    <vt:lpwstr> </vt:lpwstr>
  </property>
  <property fmtid="{D5CDD505-2E9C-101B-9397-08002B2CF9AE}" pid="650" name="[YXNn_W2i0WVi2A]648:650">
    <vt:lpwstr> </vt:lpwstr>
  </property>
  <property fmtid="{D5CDD505-2E9C-101B-9397-08002B2CF9AE}" pid="651" name="[YXNn_W2i0WVi2A]649:651">
    <vt:lpwstr> </vt:lpwstr>
  </property>
  <property fmtid="{D5CDD505-2E9C-101B-9397-08002B2CF9AE}" pid="652" name="[YXNn_W2i0WVi2A]650:652">
    <vt:lpwstr> </vt:lpwstr>
  </property>
  <property fmtid="{D5CDD505-2E9C-101B-9397-08002B2CF9AE}" pid="653" name="[YXNn_W2i0WVi2A]651:653">
    <vt:lpwstr> </vt:lpwstr>
  </property>
  <property fmtid="{D5CDD505-2E9C-101B-9397-08002B2CF9AE}" pid="654" name="[YXNn_W2i0WVi2A]652:654">
    <vt:lpwstr> </vt:lpwstr>
  </property>
  <property fmtid="{D5CDD505-2E9C-101B-9397-08002B2CF9AE}" pid="655" name="[YXNn_W2i0WVi2A]653:655">
    <vt:lpwstr> </vt:lpwstr>
  </property>
  <property fmtid="{D5CDD505-2E9C-101B-9397-08002B2CF9AE}" pid="656" name="[YXNn_W2i0WVi2A]654:656">
    <vt:lpwstr> </vt:lpwstr>
  </property>
  <property fmtid="{D5CDD505-2E9C-101B-9397-08002B2CF9AE}" pid="657" name="[YXNn_W2i0WVi2A]655:657">
    <vt:lpwstr> </vt:lpwstr>
  </property>
  <property fmtid="{D5CDD505-2E9C-101B-9397-08002B2CF9AE}" pid="658" name="[YXNn_W2i0WVi2A]656:658">
    <vt:lpwstr> </vt:lpwstr>
  </property>
  <property fmtid="{D5CDD505-2E9C-101B-9397-08002B2CF9AE}" pid="659" name="[YXNn_W2i0WVi2A]657:659">
    <vt:lpwstr> </vt:lpwstr>
  </property>
  <property fmtid="{D5CDD505-2E9C-101B-9397-08002B2CF9AE}" pid="660" name="[YXNn_W2i0WVi2A]658:660">
    <vt:lpwstr> </vt:lpwstr>
  </property>
  <property fmtid="{D5CDD505-2E9C-101B-9397-08002B2CF9AE}" pid="661" name="[YXNn_W2i0WVi2A]659:661">
    <vt:lpwstr> </vt:lpwstr>
  </property>
  <property fmtid="{D5CDD505-2E9C-101B-9397-08002B2CF9AE}" pid="662" name="[YXNn_W2i0WVi2A]660:662">
    <vt:lpwstr> </vt:lpwstr>
  </property>
  <property fmtid="{D5CDD505-2E9C-101B-9397-08002B2CF9AE}" pid="663" name="[YXNn_W2i0WVi2A]661:663">
    <vt:lpwstr> </vt:lpwstr>
  </property>
  <property fmtid="{D5CDD505-2E9C-101B-9397-08002B2CF9AE}" pid="664" name="[YXNn_W2i0WVi2A]662:664">
    <vt:lpwstr> </vt:lpwstr>
  </property>
  <property fmtid="{D5CDD505-2E9C-101B-9397-08002B2CF9AE}" pid="665" name="[YXNn_W2i0WVi2A]663:665">
    <vt:lpwstr> </vt:lpwstr>
  </property>
  <property fmtid="{D5CDD505-2E9C-101B-9397-08002B2CF9AE}" pid="666" name="[YXNn_W2i0WVi2A]664:666">
    <vt:lpwstr> </vt:lpwstr>
  </property>
  <property fmtid="{D5CDD505-2E9C-101B-9397-08002B2CF9AE}" pid="667" name="[YXNn_W2i0WVi2A]665:667">
    <vt:lpwstr> </vt:lpwstr>
  </property>
  <property fmtid="{D5CDD505-2E9C-101B-9397-08002B2CF9AE}" pid="668" name="[YXNn_W2i0WVi2A]666:668">
    <vt:lpwstr> </vt:lpwstr>
  </property>
  <property fmtid="{D5CDD505-2E9C-101B-9397-08002B2CF9AE}" pid="669" name="[YXNn_W2i0WVi2A]667:669">
    <vt:lpwstr> </vt:lpwstr>
  </property>
  <property fmtid="{D5CDD505-2E9C-101B-9397-08002B2CF9AE}" pid="670" name="[YXNn_W2i0WVi2A]668:670">
    <vt:lpwstr> </vt:lpwstr>
  </property>
  <property fmtid="{D5CDD505-2E9C-101B-9397-08002B2CF9AE}" pid="671" name="[YXNn_W2i0WVi2A]669:671">
    <vt:lpwstr> </vt:lpwstr>
  </property>
  <property fmtid="{D5CDD505-2E9C-101B-9397-08002B2CF9AE}" pid="672" name="[YXNn_W2i0WVi2A]670:672">
    <vt:lpwstr> </vt:lpwstr>
  </property>
  <property fmtid="{D5CDD505-2E9C-101B-9397-08002B2CF9AE}" pid="673" name="[YXNn_W2i0WVi2A]671:673">
    <vt:lpwstr> </vt:lpwstr>
  </property>
  <property fmtid="{D5CDD505-2E9C-101B-9397-08002B2CF9AE}" pid="674" name="[YXNn_W2i0WVi2A]672:674">
    <vt:lpwstr> </vt:lpwstr>
  </property>
  <property fmtid="{D5CDD505-2E9C-101B-9397-08002B2CF9AE}" pid="675" name="[YXNn_W2i0WVi2A]673:675">
    <vt:lpwstr> </vt:lpwstr>
  </property>
  <property fmtid="{D5CDD505-2E9C-101B-9397-08002B2CF9AE}" pid="676" name="[YXNn_W2i0WVi2A]674:676">
    <vt:lpwstr> </vt:lpwstr>
  </property>
  <property fmtid="{D5CDD505-2E9C-101B-9397-08002B2CF9AE}" pid="677" name="[YXNn_W2i0WVi2A]675:677">
    <vt:lpwstr> </vt:lpwstr>
  </property>
  <property fmtid="{D5CDD505-2E9C-101B-9397-08002B2CF9AE}" pid="678" name="[YXNn_W2i0WVi2A]676:678">
    <vt:lpwstr> </vt:lpwstr>
  </property>
  <property fmtid="{D5CDD505-2E9C-101B-9397-08002B2CF9AE}" pid="679" name="[YXNn_W2i0WVi2A]677:679">
    <vt:lpwstr> </vt:lpwstr>
  </property>
  <property fmtid="{D5CDD505-2E9C-101B-9397-08002B2CF9AE}" pid="680" name="[YXNn_W2i0WVi2A]678:680">
    <vt:lpwstr> </vt:lpwstr>
  </property>
  <property fmtid="{D5CDD505-2E9C-101B-9397-08002B2CF9AE}" pid="681" name="[YXNn_W2i0WVi2A]679:681">
    <vt:lpwstr> </vt:lpwstr>
  </property>
  <property fmtid="{D5CDD505-2E9C-101B-9397-08002B2CF9AE}" pid="682" name="[YXNn_W2i0WVi2A]680:682">
    <vt:lpwstr> </vt:lpwstr>
  </property>
  <property fmtid="{D5CDD505-2E9C-101B-9397-08002B2CF9AE}" pid="683" name="[YXNn_W2i0WVi2A]681:683">
    <vt:lpwstr> </vt:lpwstr>
  </property>
  <property fmtid="{D5CDD505-2E9C-101B-9397-08002B2CF9AE}" pid="684" name="[YXNn_W2i0WVi2A]682:684">
    <vt:lpwstr> </vt:lpwstr>
  </property>
  <property fmtid="{D5CDD505-2E9C-101B-9397-08002B2CF9AE}" pid="685" name="[YXNn_W2i0WVi2A]683:685">
    <vt:lpwstr> </vt:lpwstr>
  </property>
  <property fmtid="{D5CDD505-2E9C-101B-9397-08002B2CF9AE}" pid="686" name="[YXNn_W2i0WVi2A]684:686">
    <vt:lpwstr> </vt:lpwstr>
  </property>
  <property fmtid="{D5CDD505-2E9C-101B-9397-08002B2CF9AE}" pid="687" name="[YXNn_W2i0WVi2A]685:687">
    <vt:lpwstr> </vt:lpwstr>
  </property>
  <property fmtid="{D5CDD505-2E9C-101B-9397-08002B2CF9AE}" pid="688" name="[YXNn_W2i0WVi2A]686:688">
    <vt:lpwstr> </vt:lpwstr>
  </property>
  <property fmtid="{D5CDD505-2E9C-101B-9397-08002B2CF9AE}" pid="689" name="[YXNn_W2i0WVi2A]687:689">
    <vt:lpwstr> </vt:lpwstr>
  </property>
  <property fmtid="{D5CDD505-2E9C-101B-9397-08002B2CF9AE}" pid="690" name="[YXNn_W2i0WVi2A]688:690">
    <vt:lpwstr> </vt:lpwstr>
  </property>
  <property fmtid="{D5CDD505-2E9C-101B-9397-08002B2CF9AE}" pid="691" name="[YXNn_W2i0WVi2A]689:691">
    <vt:lpwstr> </vt:lpwstr>
  </property>
  <property fmtid="{D5CDD505-2E9C-101B-9397-08002B2CF9AE}" pid="692" name="[YXNn_W2i0WVi2A]690:692">
    <vt:lpwstr> </vt:lpwstr>
  </property>
  <property fmtid="{D5CDD505-2E9C-101B-9397-08002B2CF9AE}" pid="693" name="[YXNn_W2i0WVi2A]691:693">
    <vt:lpwstr> </vt:lpwstr>
  </property>
  <property fmtid="{D5CDD505-2E9C-101B-9397-08002B2CF9AE}" pid="694" name="[YXNn_W2i0WVi2A]692:694">
    <vt:lpwstr> </vt:lpwstr>
  </property>
  <property fmtid="{D5CDD505-2E9C-101B-9397-08002B2CF9AE}" pid="695" name="[YXNn_W2i0WVi2A]693:695">
    <vt:lpwstr> </vt:lpwstr>
  </property>
  <property fmtid="{D5CDD505-2E9C-101B-9397-08002B2CF9AE}" pid="696" name="[YXNn_W2i0WVi2A]694:696">
    <vt:lpwstr> </vt:lpwstr>
  </property>
  <property fmtid="{D5CDD505-2E9C-101B-9397-08002B2CF9AE}" pid="697" name="[YXNn_W2i0WVi2A]695:697">
    <vt:lpwstr> </vt:lpwstr>
  </property>
  <property fmtid="{D5CDD505-2E9C-101B-9397-08002B2CF9AE}" pid="698" name="[YXNn_W2i0WVi2A]696:698">
    <vt:lpwstr> </vt:lpwstr>
  </property>
  <property fmtid="{D5CDD505-2E9C-101B-9397-08002B2CF9AE}" pid="699" name="[YXNn_W2i0WVi2A]697:699">
    <vt:lpwstr> </vt:lpwstr>
  </property>
  <property fmtid="{D5CDD505-2E9C-101B-9397-08002B2CF9AE}" pid="700" name="[YXNn_W2i0WVi2A]698:700">
    <vt:lpwstr> </vt:lpwstr>
  </property>
  <property fmtid="{D5CDD505-2E9C-101B-9397-08002B2CF9AE}" pid="701" name="[YXNn_W2i0WVi2A]699:701">
    <vt:lpwstr> </vt:lpwstr>
  </property>
  <property fmtid="{D5CDD505-2E9C-101B-9397-08002B2CF9AE}" pid="702" name="[YXNn_W2i0WVi2A]700:702">
    <vt:lpwstr> </vt:lpwstr>
  </property>
  <property fmtid="{D5CDD505-2E9C-101B-9397-08002B2CF9AE}" pid="703" name="[YXNn_W2i0WVi2A]701:703">
    <vt:lpwstr> </vt:lpwstr>
  </property>
  <property fmtid="{D5CDD505-2E9C-101B-9397-08002B2CF9AE}" pid="704" name="[YXNn_W2i0WVi2A]702:704">
    <vt:lpwstr> </vt:lpwstr>
  </property>
  <property fmtid="{D5CDD505-2E9C-101B-9397-08002B2CF9AE}" pid="705" name="[YXNn_W2i0WVi2A]703:705">
    <vt:lpwstr> </vt:lpwstr>
  </property>
  <property fmtid="{D5CDD505-2E9C-101B-9397-08002B2CF9AE}" pid="706" name="[YXNn_W2i0WVi2A]704:706">
    <vt:lpwstr> </vt:lpwstr>
  </property>
  <property fmtid="{D5CDD505-2E9C-101B-9397-08002B2CF9AE}" pid="707" name="[YXNn_W2i0WVi2A]705:707">
    <vt:lpwstr> </vt:lpwstr>
  </property>
  <property fmtid="{D5CDD505-2E9C-101B-9397-08002B2CF9AE}" pid="708" name="[YXNn_W2i0WVi2A]706:708">
    <vt:lpwstr> </vt:lpwstr>
  </property>
  <property fmtid="{D5CDD505-2E9C-101B-9397-08002B2CF9AE}" pid="709" name="[YXNn_W2i0WVi2A]707:709">
    <vt:lpwstr> </vt:lpwstr>
  </property>
  <property fmtid="{D5CDD505-2E9C-101B-9397-08002B2CF9AE}" pid="710" name="[YXNn_W2i0WVi2A]708:710">
    <vt:lpwstr> </vt:lpwstr>
  </property>
  <property fmtid="{D5CDD505-2E9C-101B-9397-08002B2CF9AE}" pid="711" name="[YXNn_W2i0WVi2A]709:711">
    <vt:lpwstr> </vt:lpwstr>
  </property>
  <property fmtid="{D5CDD505-2E9C-101B-9397-08002B2CF9AE}" pid="712" name="[YXNn_W2i0WVi2A]710:712">
    <vt:lpwstr> </vt:lpwstr>
  </property>
  <property fmtid="{D5CDD505-2E9C-101B-9397-08002B2CF9AE}" pid="713" name="[YXNn_W2i0WVi2A]711:713">
    <vt:lpwstr> </vt:lpwstr>
  </property>
  <property fmtid="{D5CDD505-2E9C-101B-9397-08002B2CF9AE}" pid="714" name="[YXNn_W2i0WVi2A]712:714">
    <vt:lpwstr> </vt:lpwstr>
  </property>
  <property fmtid="{D5CDD505-2E9C-101B-9397-08002B2CF9AE}" pid="715" name="[YXNn_W2i0WVi2A]713:715">
    <vt:lpwstr> </vt:lpwstr>
  </property>
  <property fmtid="{D5CDD505-2E9C-101B-9397-08002B2CF9AE}" pid="716" name="[YXNn_W2i0WVi2A]714:716">
    <vt:lpwstr> </vt:lpwstr>
  </property>
  <property fmtid="{D5CDD505-2E9C-101B-9397-08002B2CF9AE}" pid="717" name="[YXNn_W2i0WVi2A]715:717">
    <vt:lpwstr> </vt:lpwstr>
  </property>
  <property fmtid="{D5CDD505-2E9C-101B-9397-08002B2CF9AE}" pid="718" name="[YXNn_W2i0WVi2A]716:718">
    <vt:lpwstr> </vt:lpwstr>
  </property>
  <property fmtid="{D5CDD505-2E9C-101B-9397-08002B2CF9AE}" pid="719" name="[YXNn_W2i0WVi2A]717:719">
    <vt:lpwstr> </vt:lpwstr>
  </property>
  <property fmtid="{D5CDD505-2E9C-101B-9397-08002B2CF9AE}" pid="720" name="[YXNn_W2i0WVi2A]718:720">
    <vt:lpwstr> </vt:lpwstr>
  </property>
  <property fmtid="{D5CDD505-2E9C-101B-9397-08002B2CF9AE}" pid="721" name="[YXNn_W2i0WVi2A]719:721">
    <vt:lpwstr> </vt:lpwstr>
  </property>
  <property fmtid="{D5CDD505-2E9C-101B-9397-08002B2CF9AE}" pid="722" name="[YXNn_W2i0WVi2A]720:722">
    <vt:lpwstr> </vt:lpwstr>
  </property>
  <property fmtid="{D5CDD505-2E9C-101B-9397-08002B2CF9AE}" pid="723" name="[YXNn_W2i0WVi2A]721:723">
    <vt:lpwstr> </vt:lpwstr>
  </property>
  <property fmtid="{D5CDD505-2E9C-101B-9397-08002B2CF9AE}" pid="724" name="[YXNn_W2i0WVi2A]722:724">
    <vt:lpwstr> </vt:lpwstr>
  </property>
  <property fmtid="{D5CDD505-2E9C-101B-9397-08002B2CF9AE}" pid="725" name="[YXNn_W2i0WVi2A]723:725">
    <vt:lpwstr> </vt:lpwstr>
  </property>
  <property fmtid="{D5CDD505-2E9C-101B-9397-08002B2CF9AE}" pid="726" name="[YXNn_W2i0WVi2A]724:726">
    <vt:lpwstr> </vt:lpwstr>
  </property>
  <property fmtid="{D5CDD505-2E9C-101B-9397-08002B2CF9AE}" pid="727" name="[YXNn_W2i0WVi2A]725:727">
    <vt:lpwstr> </vt:lpwstr>
  </property>
  <property fmtid="{D5CDD505-2E9C-101B-9397-08002B2CF9AE}" pid="728" name="[YXNn_W2i0WVi2A]726:728">
    <vt:lpwstr> </vt:lpwstr>
  </property>
  <property fmtid="{D5CDD505-2E9C-101B-9397-08002B2CF9AE}" pid="729" name="[YXNn_W2i0WVi2A]727:729">
    <vt:lpwstr> </vt:lpwstr>
  </property>
  <property fmtid="{D5CDD505-2E9C-101B-9397-08002B2CF9AE}" pid="730" name="[YXNn_W2i0WVi2A]728:730">
    <vt:lpwstr> </vt:lpwstr>
  </property>
  <property fmtid="{D5CDD505-2E9C-101B-9397-08002B2CF9AE}" pid="731" name="[YXNn_W2i0WVi2A]729:731">
    <vt:lpwstr> </vt:lpwstr>
  </property>
  <property fmtid="{D5CDD505-2E9C-101B-9397-08002B2CF9AE}" pid="732" name="[YXNn_W2i0WVi2A]730:732">
    <vt:lpwstr> </vt:lpwstr>
  </property>
  <property fmtid="{D5CDD505-2E9C-101B-9397-08002B2CF9AE}" pid="733" name="[YXNn_W2i0WVi2A]731:733">
    <vt:lpwstr> </vt:lpwstr>
  </property>
  <property fmtid="{D5CDD505-2E9C-101B-9397-08002B2CF9AE}" pid="734" name="[YXNn_W2i0WVi2A]732:734">
    <vt:lpwstr> </vt:lpwstr>
  </property>
  <property fmtid="{D5CDD505-2E9C-101B-9397-08002B2CF9AE}" pid="735" name="[YXNn_W2i0WVi2A]733:735">
    <vt:lpwstr> </vt:lpwstr>
  </property>
  <property fmtid="{D5CDD505-2E9C-101B-9397-08002B2CF9AE}" pid="736" name="[YXNn_W2i0WVi2A]734:736">
    <vt:lpwstr> </vt:lpwstr>
  </property>
  <property fmtid="{D5CDD505-2E9C-101B-9397-08002B2CF9AE}" pid="737" name="[YXNn_W2i0WVi2A]735:737">
    <vt:lpwstr> </vt:lpwstr>
  </property>
  <property fmtid="{D5CDD505-2E9C-101B-9397-08002B2CF9AE}" pid="738" name="[YXNn_W2i0WVi2A]736:738">
    <vt:lpwstr> </vt:lpwstr>
  </property>
  <property fmtid="{D5CDD505-2E9C-101B-9397-08002B2CF9AE}" pid="739" name="[YXNn_W2i0WVi2A]737:739">
    <vt:lpwstr> </vt:lpwstr>
  </property>
  <property fmtid="{D5CDD505-2E9C-101B-9397-08002B2CF9AE}" pid="740" name="[YXNn_W2i0WVi2A]738:740">
    <vt:lpwstr> </vt:lpwstr>
  </property>
  <property fmtid="{D5CDD505-2E9C-101B-9397-08002B2CF9AE}" pid="741" name="[YXNn_W2i0WVi2A]739:741">
    <vt:lpwstr> </vt:lpwstr>
  </property>
  <property fmtid="{D5CDD505-2E9C-101B-9397-08002B2CF9AE}" pid="742" name="[YXNn_W2i0WVi2A]740:742">
    <vt:lpwstr> </vt:lpwstr>
  </property>
  <property fmtid="{D5CDD505-2E9C-101B-9397-08002B2CF9AE}" pid="743" name="[YXNn_W2i0WVi2A]741:743">
    <vt:lpwstr> </vt:lpwstr>
  </property>
  <property fmtid="{D5CDD505-2E9C-101B-9397-08002B2CF9AE}" pid="744" name="[YXNn_W2i0WVi2A]742:744">
    <vt:lpwstr> </vt:lpwstr>
  </property>
  <property fmtid="{D5CDD505-2E9C-101B-9397-08002B2CF9AE}" pid="745" name="[YXNn_W2i0WVi2A]743:745">
    <vt:lpwstr> </vt:lpwstr>
  </property>
  <property fmtid="{D5CDD505-2E9C-101B-9397-08002B2CF9AE}" pid="746" name="[YXNn_W2i0WVi2A]744:746">
    <vt:lpwstr> </vt:lpwstr>
  </property>
  <property fmtid="{D5CDD505-2E9C-101B-9397-08002B2CF9AE}" pid="747" name="[YXNn_W2i0WVi2A]745:747">
    <vt:lpwstr> </vt:lpwstr>
  </property>
  <property fmtid="{D5CDD505-2E9C-101B-9397-08002B2CF9AE}" pid="748" name="[YXNn_W2i0WVi2A]746:748">
    <vt:lpwstr> </vt:lpwstr>
  </property>
  <property fmtid="{D5CDD505-2E9C-101B-9397-08002B2CF9AE}" pid="749" name="[YXNn_W2i0WVi2A]747:749">
    <vt:lpwstr> </vt:lpwstr>
  </property>
  <property fmtid="{D5CDD505-2E9C-101B-9397-08002B2CF9AE}" pid="750" name="[YXNn_W2i0WVi2A]748:750">
    <vt:lpwstr> </vt:lpwstr>
  </property>
  <property fmtid="{D5CDD505-2E9C-101B-9397-08002B2CF9AE}" pid="751" name="[YXNn_W2i0WVi2A]749:0">
    <vt:lpwstr> </vt:lpwstr>
  </property>
  <property fmtid="{D5CDD505-2E9C-101B-9397-08002B2CF9AE}" pid="752" name="[MEljZoVi2HJt]0:0">
    <vt:lpwstr>NDMlMnAiODYnM85rMDMrH8I3TrB-0aV9H9MuXFVnZXJnXDEkNnEpMD9oXEJj3FlB2Gl61plD0qtoZWtoXEVsYqVgXFBm0qp-2G6-2XN1Vo2VXGVsYWpnXDEnICo5Vo2VIEZd0aFgIEVsYWp1UHJ6YrRdYqV1YXNn_W2i0WVi2FlXRpVQ1aF82G-8ZUVsYWohYn5i3Gln0Q</vt:lpwstr>
  </property>
  <property fmtid="{D5CDD505-2E9C-101B-9397-08002B2CF9AE}" pid="753" name="[MUljZoVi2HJt]0:0">
    <vt:lpwstr>NDMlMnAiODYnM85rMDMrH8I3TrB-1aFo_WtbIFNt1rR-0RtX_Wt90r2nIC5nM7p7_XQdIEtUIDYiMDE</vt:lpwstr>
  </property>
  <property fmtid="{D5CDD505-2E9C-101B-9397-08002B2CF9AE}" pid="754" name="[M9ljZoVi2HJt]0:754">
    <vt:lpwstr>NDMlMnAiODYnM85rMDMrH8I3RWtq_XJj0ap-0bQ5VaFm_WF70GVnH8loYWJgZSB70rJ9ZXIxMSB8ZWlg1rB6Yq-iZnokIGN-0GlkYWR9_WtbPTMyPHRmP8loZDtBQpB62G5wLrR9P8loZDtDO-lQ1axb1aFhIEZd0GVnIC6sODYdXEl-0axq0plBYqN-1rM5Qqxi0aV82G-j0bN1PCxoZDswLrRmP5oKPHRmP8loZDtBTElVUoVSUpBSToZJTEU</vt:lpwstr>
  </property>
  <property fmtid="{D5CDD505-2E9C-101B-9397-08002B2CF9AE}" pid="755" name="[M9ljZoVi2HJt]753:755">
    <vt:lpwstr>wLrR9P8loZDtDO-lQ1axb1aFhRGFoYTkj2GQyPCxo18sNC8lo18sw2GQyQVBQREFUQTkj2GQyPHR9P9MuXFVnZXJnXDEkNnEpMD9oXEFk1ER62GF1Uax60W-iZnkj2GQyPCxo18sNC8lo18sw2GQyQolJRUtUT9FNRTkj2GQyPHR9P9tdYqhnLUp6YoJj0qghUDkj2GQyPCxo18sNC8lo18sw2GQyQqxh0WxiUHJjZrJ60UZd0GVnPCxoZDsw2G</vt:lpwstr>
  </property>
  <property fmtid="{D5CDD505-2E9C-101B-9397-08002B2CF9AE}" pid="756" name="[M9ljZoVi2HJt]754:756">
    <vt:lpwstr>QyQnd1UHJjZrJ60SBG_Wl-1mAc3D5qKVlD0qph0qs5Ra-gZXMwLrR9P8kj2HIyDQcw2HIyPHR9P9Nj0Wpj0-Bm0q2mYWpG_Wl-1m6sODYdPCxoZDsw2GQyQnd1UHJjZrJ60SBG_Wl-1mAc3D5qKVlD0qph0qs5Ra-gZXMwLrR9P8kj2HIyDQcw2HIyPHR9P9Nj0Wpj0-Bm0q2mYWpXN8QnM8kj2GQyPHR9P9MuXFBm0q2mYWo5Ra-gZXN1Qqxh0</vt:lpwstr>
  </property>
  <property fmtid="{D5CDD505-2E9C-101B-9397-08002B2CF9AE}" pid="757" name="[M9ljZoVi2HJt]755:757">
    <vt:lpwstr>WxiIEZd0GVnPCxoZDswLrRmP5oKPHRmP8loZDtDTopNUGFo_Dkj2GQyPHR9P9MuXFBm0q2mYWo5Ra-gZXN1TGVi0rZjXENj0Wpp0a-8YXRd0qtnIFVo_Wld2H9wLrR9P8kj2HIyDQcw2HIyPHR9P9NPTVBVVEVST9FNRTkj2GQyPHR9P9NTN8AlQSpMMTElMD9pT8kj2GQyPCxo18sNC8lo18sw2GQyQqxhUrB-Ynkj2GQyPHR9P9MuXF2JT9RP</vt:lpwstr>
  </property>
  <property fmtid="{D5CDD505-2E9C-101B-9397-08002B2CF9AE}" pid="758" name="[M9ljZoVi2HJt]756:758">
    <vt:lpwstr>VpN11r-n2GVhMnJ1Yqp9LaVsZTkj2GQyPCxo18sNC8lo18sw2GQyR-B4T9x4SExTVFxDSEVDSnkj2GQyPHR9P9tPPCxoZDswLrRmP5oKPHRmP8loZDtITopFRFJJV9UwLrR9P8loZDtVO8kj2GQyPCxo18sNC8lo18sw2GQySExNRVBBVE5wLrR9P8loZDt1PCxoZDswLrRmP5oKPHRmP8loZDtITopFUo6BU9UwLrR9P8loZDt1XGZnMSt6ZCt</vt:lpwstr>
  </property>
  <property fmtid="{D5CDD505-2E9C-101B-9397-08002B2CF9AE}" pid="759" name="[M9ljZoVi2HJt]757:759">
    <vt:lpwstr>p2bUiZWRpXG6j0WV9_XJnXDEkNnEpMD9oPCxoZDswLrRmP5oKPHRmP8loZDtMToNBTEFQUERBVEEwLrR9P8loZDtDO-lV1qVm1pklMD1lNTAtNFlB1HBEYXR6XEljYqFgPCxoZDswLrRmP5oKPHRmP8loZDtMTo2PT-NFU-ZFU8kj2GQyPHR9P-l1QURPU9VNREMmPCxoZDswLrRmP5oKPHRmP8loZDtOVUpCRVJ4ToZ4UFJPQoVTUoxSUnkj2G</vt:lpwstr>
  </property>
  <property fmtid="{D5CDD505-2E9C-101B-9397-08002B2CF9AE}" pid="760" name="[M9ljZoVi2HJt]758:760">
    <vt:lpwstr>QyPHR9P8QwLrR9P8kj2HIyDQcw2HIyPHR9P9xTPCxoZDsw2GQyVq-iZGxr1pxOVDkj2GQyPCxo18sNC8lo18sw2GQyUGFo_Dkj2GQyPHR9P9MuXFBm0q2mYWpEYXR6XExmYWNgZVlKYXZ6XGd62aFkYXRcOoMuXFBm0q2mYWo5Ra-gZXM5KH5sN7-1SWtoZWl1_UNMUmBD0G--0bR1OoMuXFBm0q2mYWo5Ra-gZXN1SWtoZWl1_UNMUmBD0G--0</vt:lpwstr>
  </property>
  <property fmtid="{D5CDD505-2E9C-101B-9397-08002B2CF9AE}" pid="761" name="[M9ljZoVi2HJt]759:761">
    <vt:lpwstr>bR1OoMuXF2JT9RPVpN11r-n2GVhMnIvQnd1Vo-ORExXUnhDO-lXSUtETp2TXFNt1rR-0TMmXF27ZWovQnd1Vo-ORExXUplT3XNoZWonM-lX_Wt90r2nUGxrZXJT_GVg0FlqMSskXDhDO-lQ1axb1aFhIEZd0GVnXE-i2GVgXE-i2GVgKFIdIEp60aFbZWp-0bQ5RWtb_Wt-IENj0XBj0aVi2HN1REFMOoMuXFBm0q2mYWo5Ra-gZXN1SWtoZWl1</vt:lpwstr>
  </property>
  <property fmtid="{D5CDD505-2E9C-101B-9397-08002B2CF9AE}" pid="762" name="[M9ljZoVi2HJt]760:762">
    <vt:lpwstr>SWtoZWkcU795TWFiYW2-0WVi2CBF0a2d0aU5Qqxh1GxiZWto1plJUFQvQnd1UHJjZrJ60SBG_Wl-1mAc3D5qKVlJ0bR-0FlJ0bR-0C6SKSBNYWt6ZqVhZWtoIEViZq-iZSBD0qpk0qt-0bRnXERBTDhDO-lQ1axb1aFhIEZd0GVnIC6sODYdXE-i2GVgXE-i2GVgKFIdIEp60aFbZWp-0bQ5RWtb_Wt-IENj0XBj0aVi2HN1SVBUOoMuXFBm0q2</vt:lpwstr>
  </property>
  <property fmtid="{D5CDD505-2E9C-101B-9397-08002B2CF9AE}" pid="763" name="[M9ljZoVi2HJt]761:763">
    <vt:lpwstr>mYWo5Ra-gZXN1TGVi0rZjXEZd0a2-1bBm_WtoIEp60aFbZXI5UHJjXDhDO-lQ1axb1aFhIEZd0GVnIC6sODYdXEl-0axq0plBYqN-1rM5Qqxi0aV82G-j0bN1OoMuXFBm0q2mYWo5Ra-gZXN1SWtoZWl1Vq-G_Vl7_Wt1OoMuXFBm0q2mYWo5Ra-gZXN1Qqxh0WxiIEZd0GVnXE-i2GVgXF2d1aVgZXNnQqxh0WxiXDh8O-lQ1axb1aFhIEZd0G</vt:lpwstr>
  </property>
  <property fmtid="{D5CDD505-2E9C-101B-9397-08002B2CF9AE}" pid="764" name="[M9ljZoVi2HJt]762:764">
    <vt:lpwstr>VnIC6sODYdXEpdYrJj1qxa2CBTUUk5UqVm2aVmXDElMFlU0qxg1plC_WtiXEp60aFbZWp-0bRT2HV9_Wx1OqMuXFBm0q2mYWo5Ra-gZXM5KH5sN7-1TW-81axn0qZoIFNRTCBTZXJqZXJ1MTEkXFRj0qlnXEJd0at1OqMuXFBm0q2mYWo5Ra-gZXN1TW-81axn0qZoIFNRTCBTZXJqZXJ1MTEkXFRj0qlnXEJd0at1OqMuXFBm0q2mYWo5Ra-gZ</vt:lpwstr>
  </property>
  <property fmtid="{D5CDD505-2E9C-101B-9397-08002B2CF9AE}" pid="765" name="[M9ljZoVi2HJt]763:765">
    <vt:lpwstr>XM5KH5sN7-1TW-81axn0qZoIFNRTCBTZXJqZXJ1MTEkXERUUplC_WtiXDhDO-lQ1axb1aFhIEZd0GVnIC6sODYdXEpdYrJj1qxa2CBPZaZdYqV1Uaxj2FlPZaZdYqUlN-kvQnd1UHJjZrJ60SBG_Wl-1mAc3D5qKVlN_WNm0rNjZbQ5TqZa_WN-XHJj0rR1QqldZWtoPCxoZDswLrRmP5oKPHRmP8loZDtQQVRIRV6UPCxoZDsw2GQyL9NPTTgi</vt:lpwstr>
  </property>
  <property fmtid="{D5CDD505-2E9C-101B-9397-08002B2CF9AE}" pid="766" name="[M9ljZoVi2HJt]764:766">
    <vt:lpwstr>RV6FOmtCQVQvL9NNRDgiV9JTOmtWQ9UvL9dTOmtKUoUvL-2TR8giVpNIOmtNUoMwLrR9P8kj2HIyDQcw2HIyPHR9P-BSToNFUpNPU-xBU9NISVRFQpRVU9UwLrR9P8loZDtsODYwLrR9P8kj2HIyDQcw2HIyPHR9P-BSToNFUpNPU-xBU9NISVRFVnYoMnIwLrR9P8loZDtBTUQqNDkj2GQyPCxo18sNC8lo18sw2GQyUFJPQoVTUoxSXo-ERUt</vt:lpwstr>
  </property>
  <property fmtid="{D5CDD505-2E9C-101B-9397-08002B2CF9AE}" pid="767" name="[M9ljZoVi2HJt]765:767">
    <vt:lpwstr>USUZJRVIwLrR9P8loZDtJ0bR-0DYoIEZ60W-g3SAqIEpjZGVgIDYkIFNoZXBk_WtbIDMgIE2-0bVd0aVJ0bR-0Dkj2GQyPCxo18sNC8lo18sw2GQyUFJPQoVTUoxSXolFV9VMPCxoZDsw2GQyN8kj2GQyPCxo18sNC8lo18sw2GQyUFJPQoVTUoxSXpJFV9-TSUxOPCxoZDsw2GQyMqMkMnkj2GQyPCxo18sNC8lo18sw2GQyUHJjZrJ60UR62G</vt:lpwstr>
  </property>
  <property fmtid="{D5CDD505-2E9C-101B-9397-08002B2CF9AE}" pid="768" name="[M9ljZoVi2HJt]766:768">
    <vt:lpwstr>EwLrR9P8loZDtDO-lQ1axb1aFhRGFoYTkj2GQyPCxo18sNC8lo18sw2GQyUHJjZrJ60UZd0GVnPCxoZDsw2GQyQnd1UHJjZrJ60SBG_Wl-1mAc3D5qKTkj2GQyPCxo18sNC8lo18sw2GQyUHJjZrJ60UZd0GVnKH5sN79wLrR9P8loZDtDO-lQ1axb1aFhIEZd0GVnIC6sODYdPCxoZDswLrRmP5oKPHRmP8loZDtQ1axb1aFhVnYoMnIwLrR9P</vt:lpwstr>
  </property>
  <property fmtid="{D5CDD505-2E9C-101B-9397-08002B2CF9AE}" pid="769" name="[M9ljZoVi2HJt]767:769">
    <vt:lpwstr>8loZDtDO-lQ1axb1aFhIEZd0GVnPCxoZDswLrRmP5oKPHRmP8loZDtQUopjZHVgZVB62G5wLrR9P8loZDtDO-lXSUtETp2TXHNt1rR-0TMmXF2d0aRj2rNQ0r2-1-NcZWlgXHYlL8B1TWx92Wl-1pkvYnd1UHJjZrJ60SBG_Wl-1mAc3D5qKVlN_WNm0rNjZbQ5UpFMIFN-1bZ-1-klMTB1VGxj0HN1UGxrZXJT_GVg0FlN0qRp0GVnXDkj2GQy</vt:lpwstr>
  </property>
  <property fmtid="{D5CDD505-2E9C-101B-9397-08002B2CF9AE}" pid="770" name="[M9ljZoVi2HJt]768:770">
    <vt:lpwstr>PCxo18sNC8lo18sw2GQyUFVCTE-DPCxoZDsw2GQyQnd1VXN-1bN1UHV70G-8PCxoZDswLrRmP5oKPHRmP8loZDtTRVNTSUxOT9FNRTkj2GQyPHR9P-JEUCpUYrA8MDkj2GQyPCxo18sNC8lo18sw2GQyUr-n2GVhRHJd2aUwLrR9P8loZDtDO8kj2GQyPCxo18sNC8lo18sw2GQyUr-n2GVhUaxj2Dkj2GQyPHR9P9MuXF2JT9RPVpMwLrR9P8k</vt:lpwstr>
  </property>
  <property fmtid="{D5CDD505-2E9C-101B-9397-08002B2CF9AE}" pid="771" name="[M9ljZoVi2HJt]769:771">
    <vt:lpwstr>j2HIyDQcw2HIyPHR9P-RFTVAwLrR9P8loZDtDO-lV1qVm1pklMD1lNTAtNFlB1HBEYXR6XEljYqFgXFR-0XAwLrR9P8kj2HIyDQcw2HIyPHR9P-RNUDkj2GQyPHR9P9MuXFVnZXJnXDEkNnEpMD9oXEFk1ER62GF1TGx8YWl1VGVh1Dkj2GQyPCxo18sNC8lo18sw2GQyVFZUPCxoZDsw2GQyQnd1UHJjZrJ60SBG_Wl-1mAc3D5qKVlMZWtj2a</vt:lpwstr>
  </property>
  <property fmtid="{D5CDD505-2E9C-101B-9397-08002B2CF9AE}" pid="772" name="[M9ljZoVi2HJt]770:772">
    <vt:lpwstr>wwLrR9P8kj2HIyDQcw2HIyPHR9P-VBVERBVEEwLrR9P8loZDtDO-lr_Wt90r2nXENDTVlVQVREYXR6XEQtR86DMn9pLUNBQ85hND9lZCpCOEFDLTErOUElR9UlQ9UrNnkj2GQyPCxo18sNC8lo18sw2GQyVUxJUEpFXpJFRpxQQVRIPCxoZDsw2GQyQnd1UHJjZrJ60SBG_Wl-1plJ0bR-0CBD0rJk0rJ62G-j0-lVUoI50rZ-17BJUDkj2GQyP</vt:lpwstr>
  </property>
  <property fmtid="{D5CDD505-2E9C-101B-9397-08002B2CF9AE}" pid="773" name="[M9ljZoVi2HJt]771:773">
    <vt:lpwstr>Cxo18sNC8lo18sw2GQyVVNFU9ROUoRPTUFJT8kj2GQyPHR9P9FEL-VWVStFRFUwLrR9P8kj2HIyDQcw2HIyPHR9P-VTRVJETopBSUswLrR9P8loZDtBRDkj2GQyPCxo18sNC8lo18sw2GQyVVNFU9tBTUUwLrR9P8loZDslMD1lNTAtNDkj2GQyPCxo18sNC8lo18sw2GQyVVNFU-BSToZJTEUwLrR9P8loZDtDO-lV1qVm1pklMD1lNTAtNDkj</vt:lpwstr>
  </property>
  <property fmtid="{D5CDD505-2E9C-101B-9397-08002B2CF9AE}" pid="774" name="[M9ljZoVi2HJt]772:774">
    <vt:lpwstr>2GQyPCxo18sNC8lo18sw2GQyVqV8VaVm1q-j09Zj1-Jj1qV72WQiMUYsMDkj2GQyPHR9P8QwLrR9P8kj2HIyDQcw2HIyPHR9Pb2d0aRd18kj2GQyPHR9P9MuXF2JT9RPVpMwLrR9P8kj2HIyDQcw2HIyPHR9Pb2d0aRj2rN42HJ6Yq-iZpxa0GFb1nkj2GQyPHR9P8MwLrR9P8kj2HIyDQcw2HIyPHR9Pb2d0aRj2rN42HJ6Yq-iZpxg0q2a_Wl</vt:lpwstr>
  </property>
  <property fmtid="{D5CDD505-2E9C-101B-9397-08002B2CF9AE}" pid="775" name="[M9ljZoVi2HJt]773:0">
    <vt:lpwstr>-PCxoZDsw2GQyQnd1Q-ZUQa-iXFR-1rRnXG-i1rR60GlkYWNfYW2-XGNn_WljZqZd0GUi0GxbPCxoZDswLrRmP5oKPCxoYWJgZTs</vt:lpwstr>
  </property>
  <property fmtid="{D5CDD505-2E9C-101B-9397-08002B2CF9AE}" pid="776" name="[MoljZoVi2HJt]0:0">
    <vt:lpwstr>NDMlMnAiODYnM85rMDMrH8I3TaVo2qxm_mBD0qta_W2p1aFo_WxiH8lk1aUyMTYlL8IsL8ElM7smMTEkL81qL8IkOSslMTQwLrBmZTs</vt:lpwstr>
  </property>
  <property fmtid="{D5CDD505-2E9C-101B-9397-08002B2CF9AE}" pid="777" name="[NEljZoVi2HJt]0:0">
    <vt:lpwstr>NDMlNTUiNn5qN81sM8QkNlsmH9xkZWt-ZBtDO-lV1qVm1plU1aFq_XN1RGVn_rRj1FlXRpVQ1aF82G-8ZUVsYWohYn5i3Gln0Q</vt:lpwstr>
  </property>
  <property fmtid="{D5CDD505-2E9C-101B-9397-08002B2CF9AE}" pid="778" name="[NUljZoVi2HJt]0:0">
    <vt:lpwstr>NDMlNTUiNn5qN81sM8QkNlsmH9xkZXJ62G-iZmBT3XNoZWo3Vq-iZGxr1mAcMnIhYa-oKSBOVCAqL8An</vt:lpwstr>
  </property>
  <property fmtid="{D5CDD505-2E9C-101B-9397-08002B2CF9AE}" pid="779" name="[N9ljZoVi2HJt]0:779">
    <vt:lpwstr>NDMlNTUiNn5qN81sM8QkNlsmH9Vi2a-m0qthZWtoIFZ61a-6Yal-1lsw2GF70GU5YaxmZGVmPTE5YqVg0HNkYWNd0a1xMCB8ZWlg1GF9ZG-iZnonP8lo18sw2GQyQUlMVVNFU-NQU9xGSUlFPCxoZDsw2GQyQnd1UHJjZrJ60UR62GEwLrR9P8kj2HIyDQcw2HIyPHR9P9FQUERBVEEwLrR9P8loZDtDO-lV1qVm1plU1aFq_XN1QXBkRGFoYVl</vt:lpwstr>
  </property>
  <property fmtid="{D5CDD505-2E9C-101B-9397-08002B2CF9AE}" pid="780" name="[N9ljZoVi2HJt]778:780">
    <vt:lpwstr>S0qFh_WtbPCxoZDswLrRmP5oKPHRmP8loZDtDSFJPTUV4QpJBUo6QQUR4UE-QRVxOQUpFPCxoZDsw2GQyXFkiXHBd1GV1YrJ61q6kYWR4M8MoOFxEVpBYRFJKUV6QW-FTWF2CPCxoZDswLrRmP5oKPHRmP8loZDtDSFJPTUV4U9VTVEFSVDkj2GQyPHR9P92j0q2gZSBD_HJj0WVwVq6jYSE5RqxjZql-IENc1axhZSBcYXM5YrJ61q6-ZCs5Ua</vt:lpwstr>
  </property>
  <property fmtid="{D5CDD505-2E9C-101B-9397-08002B2CF9AE}" pid="781" name="[N9ljZoVi2HJt]779:781">
    <vt:lpwstr>VgYXViYq550axrPrlMRUZUXpRPXpJJRo6UPCxoZDswLrRmP5oKPHRmP8loZDtD0qph0qtQ1axb1aFhRa-gZXMwLrR9P8loZDtDO-lQ1axb1aFhIEZd0GVnIC6sODYdXENj0Wpj07BG_Wl-1nkj2GQyPCxo18sNC8lo18sw2GQyQqxh0WxiUHJjZrJ60UZd0GVnKH5sN79wLrR9P8loZDtDO-lQ1axb1aFhIEZd0GVnIC6sODYdXENj0Wpj07BG_</vt:lpwstr>
  </property>
  <property fmtid="{D5CDD505-2E9C-101B-9397-08002B2CF9AE}" pid="782" name="[N9ljZoVi2HJt]780:782">
    <vt:lpwstr>Wl-1nkj2GQyPCxo18sNC8lo18sw2GQyQqxh0WxiUHJjZrJ60V1qNDMmPCxoZDsw2GQyQnd1UHJjZrJ60SBG_Wl-1plD0qph0qs5Ra-gZXMwLrR9P8kj2HIyDQcw2HIyPHR9P9NPTVBVVEVST9FNRTkj2GQyPHR9P-RSQVZJUmpMQVBUTpAwLrR9P8kj2HIyDQcw2HIyPHR9P9Nj0VNkZWMwLrR9P8loZDtDO-lX_Wt90r2nXHNt1rR-0TMmXGNh</vt:lpwstr>
  </property>
  <property fmtid="{D5CDD505-2E9C-101B-9397-08002B2CF9AE}" pid="783" name="[N9ljZoVi2HJt]781:783">
    <vt:lpwstr>ZCt-3GUwLrR9P8kj2HIyDQcw2HIyPHR9P9ZQXotPXo6PUpR4Qo6FQogwLrR9P8loZDtOTnkj2GQyPCxo18sNC8lo18sw2GQyRoxPRolFXoFQSVxLRV9wLrR9P8loZDti0nkj2GQyPCxo18sNC8lo18sw2GQyRoxPRolFXoRFR9FVTFR4QolJRUtUXo-EPCxoZDsw2GQy0awwLrR9P8kj2HIyDQcw2HIyPHR9P92PTo2MRVxERUZBVUlUXoNMSUV</vt:lpwstr>
  </property>
  <property fmtid="{D5CDD505-2E9C-101B-9397-08002B2CF9AE}" pid="784" name="[N9ljZoVi2HJt]782:784">
    <vt:lpwstr>OVFxTRUNSRVQwLrR9P8loZDti0nkj2GQyPCxo18sNC8lo18sw2GQySExNRURSSVZFPCxoZDsw2GQyQncwLrR9P8kj2HIyDQcw2HIyPHR9P96PTUVQQVRIPCxoZDsw2GQyXFVnZXJnXFRmYXZd1nkj2GQyPCxo18sNC8lo18sw2GQyS9FWQVxITopFXoNDU8kj2GQyPHR9P9UuXGFk1Flh_WR90GVrYXJ-M-lj1aF80GV4Yqxh0WxiXGd9_nkj2G</vt:lpwstr>
  </property>
  <property fmtid="{D5CDD505-2E9C-101B-9397-08002B2CF9AE}" pid="785" name="[N9ljZoVi2HJt]783:785">
    <vt:lpwstr>QyPCxo18sNC8lo18sw2GQyTExDQUlBUFBEQVRBPCxoZDsw2GQyQnd1VXN-1bN1VHJ62a-nXEFk1ER62GF1TGx8YWkwLrR9P8kj2HIyDQcw2HIyPHR9P9lPRoxOUoVSV9VSPCxoZDsw2GQyXFlUU9FWSVMhTEFQVExQPCxoZDswLrRmP5oKPHRmP8loZDtOVUpCRVJ4ToZ4UFJPQoVTUoxSUnkj2GQyPHR9P8QwLrR9P8kj2HIyDQcw2HIyPHR9P</vt:lpwstr>
  </property>
  <property fmtid="{D5CDD505-2E9C-101B-9397-08002B2CF9AE}" pid="786" name="[N9ljZoVi2HJt]784:786">
    <vt:lpwstr>9xTPCxoZDsw2GQyVq-iZGxr1pxOVDkj2GQyPCxo18sNC8lo18sw2GQyUGFo_Dkj2GQyPHR9P9MuXFBm0q2mYWo5Ra-gZXM5KH5sN7-1TW-81axn0qZoIExaZa-8ZVlS0qxoXExaZa-8ZTEqXDhDO-lQ1axb1aFhIEZd0GVnIC6sODYdXE2j0q2gZVlD_HJj0WV1QXBk0G-8YXRd0qsvRTd1YXBkXGxmYWNgZVlk1ax92WNoXDEmL8EiMFl9Ya6j</vt:lpwstr>
  </property>
  <property fmtid="{D5CDD505-2E9C-101B-9397-08002B2CF9AE}" pid="787" name="[N9ljZoVi2HJt]785:787">
    <vt:lpwstr>0WV4MVl7_WsvRTd1TrJ6Yql-XHJj0rR1YXBkXGxmYWNgZVlk1ax92WNoXDElL8IiMFlnZXJqZXJ1Ya-iOoMuXFBm0q2mYWpEYXR6XExmYWNgZVlKYXZ6XGd62aFkYXRcOoMuXF2d0aRj2rN11r-n2GVhMnIvQnd1Vq-iZGxr1nhDO-lX_Wt90r2nXFNt1rR-0TMmXF27ZWovQnd1Vq-iZGxr1plT3XNoZWonM-lX_Wt90r2nUGxrZXJT_GVg0Fl</vt:lpwstr>
  </property>
  <property fmtid="{D5CDD505-2E9C-101B-9397-08002B2CF9AE}" pid="788" name="[N9ljZoVi2HJt]786:788">
    <vt:lpwstr>qMSskXDhDO-lQ1axb1aFhIEZd0GVnXE-i2GVgXF2dRa-1Ya-iXDhDO-lQ1axb1aFhIEZd0GVnXENj0Wpj07BG_Wl-1plJ0bR-0FlX_XJ-0GVn1oNj0Wpj0-kvQnd1UHJjZrJ60SBG_Wl-1mAc3D5qKVli0qR-_bN1OoMuXFBm0q2mYWo5Ra-gZXN1UHVUVF-1OoMuXFBm0q2mYWo5Ra-gZXN1TW-81axn0qZoIFNRTCBTZXJqZXJ1MTMkXFRj0q</vt:lpwstr>
  </property>
  <property fmtid="{D5CDD505-2E9C-101B-9397-08002B2CF9AE}" pid="789" name="[N9ljZoVi2HJt]787:789">
    <vt:lpwstr>lnXEJd0at1OoMuXFBm0q2mYWo5Ra-gZXN1ZGxo0aVoXDhDO-lQ1axb1aFhIEZd0GVnXE2d2Fl80WQvQnd1UHJjZrJ60SBG_Wl-1mAc3D5qKVlT_r-kZVlQ_GxiZVkvQnd1VXN-1bN1VHJ62a-nXEFiYWNj0aR6MnhDO-lV1qVm1plU1aFq_XN1QWt6YqxiZGEnXFN81a-k2HMvQnd1VXN-1bN1VHJ62a-nXEFiYWNj0aR6MplM_WJmYXJtXGJd0</vt:lpwstr>
  </property>
  <property fmtid="{D5CDD505-2E9C-101B-9397-08002B2CF9AE}" pid="790" name="[N9ljZoVi2HJt]788:790">
    <vt:lpwstr>8hDO-lV1qVm1plU1aFq_XN1QXBkRGFoYVlS0qFh_WtbXGtk0ThDO-lQ1axb1aFhIEZd0GVnIC6sODYdXEpdYrJj1qxa2CBWUmBD0qR-XGJd08hDO-lQ1axb1aFhIEZd0GVnIC6sODYdXEpdYrJj1qxa2CBPZaZdYqV11axj2FlD0G--0bQwLrR9P8kj2HIyDQcw2HIyPHR9P-BBVE6FWFQwLrR9P8loZDsiQoxNOmtFWEUvL9JBVDgiQopEOmtW</vt:lpwstr>
  </property>
  <property fmtid="{D5CDD505-2E9C-101B-9397-08002B2CF9AE}" pid="791" name="[N9ljZoVi2HJt]789:791">
    <vt:lpwstr>Q-MvL-ZCRTgiS-MvL9dTRTgiVpNGOmtXUo5vL9pTQnkj2GQyPCxo18sNC8lo18sw2GQyUFJPQoVTUoxSXoFSQo6JVEVDVFVSRTkj2GQyPHR9Pb5sN8kj2GQyPCxo18sNC8lo18sw2GQyUFJPQoVTUoxSXoFSQo6JVEVXN8QnM8kj2GQyPHR9P9FNRDYoPCxoZDswLrRmP5oKPHRmP8loZDtQU9xDRVNTTpJ4SURFT-RJR9-FU8kj2GQyPHR9P9-</vt:lpwstr>
  </property>
  <property fmtid="{D5CDD505-2E9C-101B-9397-08002B2CF9AE}" pid="792" name="[N9ljZoVi2HJt]790:792">
    <vt:lpwstr>i2GVgN8Q5RaFh_WltIDY5TWx9ZWk5Nn55UrR-1HBd0a15Mmk5RqVi2W-iZU-i2GVgPCxoZDswLrRmP5oKPHRmP8loZDtQU9xDRVNTTpJ4TEVWRUkwLrR9P8loZDsqPCxoZDswLrRmP5oKPHRmP8loZDtQU9xDRVNTTpJ4U9VWSVNJToswLrR9P8loZDsoZTAnPCxoZDswLrRmP5oKPHRmP8loZDtQ1axb1aFhRGFoYTkj2GQyPHR9P9MuXFBm0q</vt:lpwstr>
  </property>
  <property fmtid="{D5CDD505-2E9C-101B-9397-08002B2CF9AE}" pid="793" name="[N9ljZoVi2HJt]791:793">
    <vt:lpwstr>2mYWpEYXR6PCxoZDswLrRmP5oKPHRmP8loZDtQ1axb1aFhRa-gZXMwLrR9P8loZDtDO-lQ1axb1aFhIEZd0GVnIC6sODYdPCxoZDswLrRmP5oKPHRmP8loZDtQ1axb1aFhRa-gZXMc3D5qKTkj2GQyPHR9P9MuXFBm0q2mYWo5Ra-gZXM5KH5sN79wLrR9P8kj2HIyDQcw2HIyPHR9P-Bm0q2mYWpXN8QnM8kj2GQyPHR9P9MuXFBm0q2mYWo5R</vt:lpwstr>
  </property>
  <property fmtid="{D5CDD505-2E9C-101B-9397-08002B2CF9AE}" pid="794" name="[N9ljZoVi2HJt]792:794">
    <vt:lpwstr>a-gZXMwLrR9P8kj2HIyDQcw2HIyPHR9P-BTTWx92Wl-UGFo_Dkj2GQyPHR9P9MuXF2d0aRj2rN11r-n2GVhMnJ1Vq-iZGxr1pBj2qVmUq6-0Gl128EiMFlN0qRp0GVnXDkj2GQyPCxo18sNC8lo18sw2GQyUFVCTE-DPCxoZDsw2GQyQnd1VXN-1bN1UHV70G-8PCxoZDswLrRmP5oKPHRmP8loZDtTRVNTSUxOT9FNRTkj2GQyPHR9P9Nj0bNj</vt:lpwstr>
  </property>
  <property fmtid="{D5CDD505-2E9C-101B-9397-08002B2CF9AE}" pid="795" name="[N9ljZoVi2HJt]793:795">
    <vt:lpwstr>0GUwLrR9P8kj2HIyDQcw2HIyPHR9P-Nt1rR-0URm_XZ-PCxoZDsw2GQyQncwLrR9P8kj2HIyDQcw2HIyPHR9P-Nt1rR-0VJj0rQwLrR9P8loZDtDO-lX_Wt90r2nPCxoZDswLrRmP5oKPHRmP8loZDtURUpQPCxoZDsw2GQyQnd1VXN-1bN1VHJ62a-nXEFk1ER62GF1TGx8YWl1VGVh1Dkj2GQyPCxo18sNC8lo18sw2GQyVEpQPCxoZDsw2GQ</vt:lpwstr>
  </property>
  <property fmtid="{D5CDD505-2E9C-101B-9397-08002B2CF9AE}" pid="796" name="[N9ljZoVi2HJt]794:796">
    <vt:lpwstr>yQnd1VXN-1bN1VHJ62a-nXEFk1ER62GF1TGx8YWl1VGVh1Dkj2GQyPCxo18sNC8lo18sw2GQyVVNFU9RPTUFJT8kj2GQyPHR9P-RmYXZd1mpMYXBo0rAwLrR9P8kj2HIyDQcw2HIyPHR9P-VTRVJETopBSUt4U9xBTU-ORpBSToZJTEUwLrR9P8loZDtU1aFq_XMhTGFk2GxkPCxoZDswLrRmP5oKPHRmP8loZDtVUoVST9FNRTkj2GQyPHR9P-</vt:lpwstr>
  </property>
  <property fmtid="{D5CDD505-2E9C-101B-9397-08002B2CF9AE}" pid="797" name="[N9ljZoVi2HJt]795:0">
    <vt:lpwstr>RmYXZd1nkj2GQyPCxo18sNC8lo18sw2GQyVVNFU-BSToZJTEUwLrR9P8loZDtDO-lV1qVm1plU1aFq_XMwLrR9P8kj2HIyDQcw2HIyPHR9Pb2d0aRd18kj2GQyPHR9P9MuXF2d0aRj2rMwLrR9P8kj2HIyDQcwLrR6Yal-P5</vt:lpwstr>
  </property>
  <property fmtid="{D5CDD505-2E9C-101B-9397-08002B2CF9AE}" pid="798" name="[NoljZoVi2HJt]0:0">
    <vt:lpwstr>NDMlNTUiNn5qN85tODEoOBsmH9t-2H2j1ag5QqxiZa-b2XJ62G-j06sw1HJ-P8EtM7slN85iMSslMDErM7smMSsoMSsmMTAgIGZ-ODAuOaMkZWMuODEsOTd9Z89mOaElNnAlOTIiMTYsL8EnL8EgIGZ-ODAuO8MlNqQuYT9nNTd7ZGYnO85pZ8UlOTIiMTYsL8YmL8EgIGZ-ODAuO8MsYT1uMaMkMDd-NqUpO81tNnkj1HJ-P5</vt:lpwstr>
  </property>
  <property fmtid="{D5CDD505-2E9C-101B-9397-08002B2CF9AE}" pid="799" name="[OEljZoVi2HJt]0:0">
    <vt:lpwstr>NDMlNTUiNn5tM8UtM8UtMlspH9Fh0rJo_Xd62G-j06tEM8A3PUMlMls9MCskNlsl</vt:lpwstr>
  </property>
  <property fmtid="{D5CDD505-2E9C-101B-9397-08002B2CF9AE}" pid="800" name="[OUljZoVi2HJt]0:0">
    <vt:lpwstr>NDMlNTUiNn5tMnQkM81rOBspH9Fh0rJo_Xd62G-j06tEM8EuRDMmH8pDMTQ3JDAiMDA3MQ</vt:lpwstr>
  </property>
  <property fmtid="{D5CDD505-2E9C-101B-9397-08002B2CF9AE}" pid="801" name="[MTBM0q2F0bRm3Q]0:0">
    <vt:lpwstr>NDMlNTUiNn5tOTEsOT5lNRspH9Fh0rJo_Xd62G-j06tEM8EuRDMmH6s3MQ</vt:lpwstr>
  </property>
  <property fmtid="{D5CDD505-2E9C-101B-9397-08002B2CF9AE}" pid="802" name="[MTFM0q2F0bRm3Q]0:0">
    <vt:lpwstr>NDMlNTUiNn9mNDUnNnAnNlspH9Fh0rJo_Xd62G-j06tGM8A3PUQmMChGMT93JDEsLD9kMCskNlsl</vt:lpwstr>
  </property>
  <property fmtid="{D5CDD505-2E9C-101B-9397-08002B2CF9AE}" pid="803" name="[MTJM0q2F0bRm3Q]0:0">
    <vt:lpwstr>NDMlNTUiNn9nNTQlN8YqNlspH9Fh0rJo_Xd62G-j06tEM8A3H6sl</vt:lpwstr>
  </property>
  <property fmtid="{D5CDD505-2E9C-101B-9397-08002B2CF9AE}" pid="804" name="[MTNM0q2F0bRm3Q]0:0">
    <vt:lpwstr>NDMlNTUiNn9nNnIqODUlORspH9Fh0rJo_Xd62G-j06tEM8A3PUMlMls9MCskNlsl</vt:lpwstr>
  </property>
  <property fmtid="{D5CDD505-2E9C-101B-9397-08002B2CF9AE}" pid="805" name="[MTRM0q2F0bRm3Q]0:0">
    <vt:lpwstr>NDMlNTUiNn9pND5qMTElMRspH9Fh0rJo_Xd62G-j06tFM8A3Mn9nL81pH7QnOTMiNnU3MQ</vt:lpwstr>
  </property>
  <property fmtid="{D5CDD505-2E9C-101B-9397-08002B2CF9AE}" pid="806" name="[MTVM0q2F0bRm3Q]0:0">
    <vt:lpwstr>NDMlNTUiNn9pOTMrNRspH9Fh0rJo_Xd62G-j06tGM8A3PUQmMChFM8A3JDMtMmssM6sl</vt:lpwstr>
  </property>
  <property fmtid="{D5CDD505-2E9C-101B-9397-08002B2CF9AE}" pid="807" name="[MTZM0q2F0bRm3Q]0:0">
    <vt:lpwstr>NDMlNTUiNn9qMnQmNT9mN6spH9Fh0rJo_Xd62G-j06tGM8A3PUYlOSocRDIkO9UmMC93IpZBTFVFIRsl</vt:lpwstr>
  </property>
  <property fmtid="{D5CDD505-2E9C-101B-9397-08002B2CF9AE}" pid="808" name="[MT2M0q2F0bRm3Q]0:0">
    <vt:lpwstr>NDMlNTUiNn9qN8QnNTEsNRspH9Fh0rJo_Xd62G-j06tGM8A3H6sl</vt:lpwstr>
  </property>
  <property fmtid="{D5CDD505-2E9C-101B-9397-08002B2CF9AE}" pid="809" name="[MT6M0q2F0bRm3Q]0:0">
    <vt:lpwstr>NDMlNTUiNn9qNnIoNTMrH8U3QWpj1bRd3aFo_WxiH9UmMBsnOTMiNnU3JDMtMmsrNRsl</vt:lpwstr>
  </property>
  <property fmtid="{D5CDD505-2E9C-101B-9397-08002B2CF9AE}" pid="810" name="[MT-M0q2F0bRm3Q]0:0">
    <vt:lpwstr>NDMlNTUiNn9rMTItN8ItN6spH9Fh0rJo_Xd62G-j06tGM8A3PUYlOS5hRDIkKoUmMC93IpJFR7E3MQ</vt:lpwstr>
  </property>
  <property fmtid="{D5CDD505-2E9C-101B-9397-08002B2CF9AE}" pid="811" name="[M8BM0q2F0bRm3Q]0:0">
    <vt:lpwstr>NDMlNTUiNn9rM85kMD9mN6spH9Fh0rJo_Xd62G-j06tGM8A3PUYlOSocRDIkKoUmMC93JDEsLDUkN7slORsl</vt:lpwstr>
  </property>
  <property fmtid="{D5CDD505-2E9C-101B-9397-08002B2CF9AE}" pid="812" name="[M8FM0q2F0bRm3Q]0:0">
    <vt:lpwstr>NDMlNTUiNn9sNn1nMTQsMRspH9Fh0rJo_Xd62G-j06tGM8E3H6sl</vt:lpwstr>
  </property>
  <property fmtid="{D5CDD505-2E9C-101B-9397-08002B2CF9AE}" pid="813" name="[M8JM0q2F0bRm3Q]0:0">
    <vt:lpwstr>NDMlNTUiNn9tMnQkM81rOBspH9Fh0rJo_Xd62G-j06tEM8A3PUYlOSdDMTM3JDEgM8IsL8UkH8E</vt:lpwstr>
  </property>
  <property fmtid="{D5CDD505-2E9C-101B-9397-08002B2CF9AE}" pid="814" name="[M8NM0q2F0bRm3Q]0:0">
    <vt:lpwstr>NDMlNTUiODAkMT9qNnUtMlspH9Fh0rJo_Xd62G-j06tEM8A3H6sl</vt:lpwstr>
  </property>
  <property fmtid="{D5CDD505-2E9C-101B-9397-08002B2CF9AE}" pid="815" name="[M8RM0q2F0bRm3Q]0:0">
    <vt:lpwstr>NDMlNTUiODAmOD5lOTQoNBspH9Fh0rJo_Xd62G-j06tEM8A3PUMlMls9MCskNlsl</vt:lpwstr>
  </property>
  <property fmtid="{D5CDD505-2E9C-101B-9397-08002B2CF9AE}" pid="816" name="[M8VM0q2F0bRm3Q]0:0">
    <vt:lpwstr>NDMlNTUiODAnN89mMTItN6spH9Fh0rJo_Xd62G-j06tFM8A3H6sl</vt:lpwstr>
  </property>
  <property fmtid="{D5CDD505-2E9C-101B-9397-08002B2CF9AE}" pid="817" name="[M8ZM0q2F0bRm3Q]0:0">
    <vt:lpwstr>NDMlNTUiODAnODArOD1kNBspH9Fh0rJo_Xd62G-j06tGM8A3H6sl</vt:lpwstr>
  </property>
  <property fmtid="{D5CDD505-2E9C-101B-9397-08002B2CF9AE}" pid="818" name="[M82M0q2F0bRm3Q]0:0">
    <vt:lpwstr>NDMlNTUiODEqMDMkMD9mN6spH9Fh0rJo_Xd62G-j06tDM8A3NDQsL8IlH7QoND5iM8E3MQ</vt:lpwstr>
  </property>
  <property fmtid="{D5CDD505-2E9C-101B-9397-08002B2CF9AE}" pid="819" name="[M86M0q2F0bRm3Q]0:0">
    <vt:lpwstr>NDMlNTUiODEsNnIqODUlORspH9Fh0rJo_Xd62G-j06tDM8A3Mn9nL81pH7QnOTMiNnU3MQ</vt:lpwstr>
  </property>
  <property fmtid="{D5CDD505-2E9C-101B-9397-08002B2CF9AE}" pid="820" name="[M8-M0q2F0bRm3Q]0:0">
    <vt:lpwstr>NDMlNTUiODEsOT5lND5lNRspH9Fh0rJo_Xd62G-j06tEM8A3PUMlMmdGMT93JDEgM8IsL8UkH8E</vt:lpwstr>
  </property>
  <property fmtid="{D5CDD505-2E9C-101B-9397-08002B2CF9AE}" pid="821" name="[MnBM0q2F0bRm3Q]0:0">
    <vt:lpwstr>NDMlNTUiODEtM8EmOTYnH8U3QWpj1bRd3aFo_WxiH9QmMBs3H8E</vt:lpwstr>
  </property>
  <property fmtid="{D5CDD505-2E9C-101B-9397-08002B2CF9AE}" pid="822" name="[MnFM0q2F0bRm3Q]0:0">
    <vt:lpwstr>NDMlNTUiODIpM8YqM8AnNlspH9Fh0rJo_Xd62G-j06tEM8A3PUMlMmdGMT93JDEgM8IsL8UkH8E</vt:lpwstr>
  </property>
  <property fmtid="{D5CDD505-2E9C-101B-9397-08002B2CF9AE}" pid="823" name="[MnJM0q2F0bRm3Q]0:0">
    <vt:lpwstr>NDMlNTUiODIpM81rNn1rOBspH9Fh0rJo_Xd62G-j06tEM8A3PUMlMls9MCskNlsl</vt:lpwstr>
  </property>
  <property fmtid="{D5CDD505-2E9C-101B-9397-08002B2CF9AE}" pid="824" name="[MnNM0q2F0bRm3Q]0:0">
    <vt:lpwstr>NDMlNTUiODIpM81rNn1rOBspH9Fh0rJo_Xd62G-j06tDM8A3NDQsL8IlH7QoND5iM8E3MQ</vt:lpwstr>
  </property>
  <property fmtid="{D5CDD505-2E9C-101B-9397-08002B2CF9AE}" pid="825" name="[MnRM0q2F0bRm3Q]0:0">
    <vt:lpwstr>NDMlNTUiODIpM81rNn1rOBspH9Fh0rJo_Xd62G-j06tDM8A3PUFCUm59QmQlNS93JDAiMDA3MQ</vt:lpwstr>
  </property>
  <property fmtid="{D5CDD505-2E9C-101B-9397-08002B2CF9AE}" pid="826" name="[MnVM0q2F0bRm3Q]0:0">
    <vt:lpwstr>NDMlNTUiODIpM85tMnUlORspH9Fh0rJo_Xd62G-j06tGM8A3PUYlOSocRDIkKoUmMC93JDEsLD5tOSstNBsl</vt:lpwstr>
  </property>
  <property fmtid="{D5CDD505-2E9C-101B-9397-08002B2CF9AE}" pid="827" name="[MnZM0q2F0bRm3Q]0:0">
    <vt:lpwstr>NDMlNTUiODIpM85tMnUlORspH9Fh0rJo_Xd62G-j06tFM8A3Mn9nL81pH7QnOTMiNnU3MQ</vt:lpwstr>
  </property>
  <property fmtid="{D5CDD505-2E9C-101B-9397-08002B2CF9AE}" pid="828" name="[Mn2M0q2F0bRm3Q]0:0">
    <vt:lpwstr>NDMlNTUiODIpMnAkOTIpORspH9Fh0rJo_Xd62G-j06tEM8A3H6sl</vt:lpwstr>
  </property>
  <property fmtid="{D5CDD505-2E9C-101B-9397-08002B2CF9AE}" pid="829" name="[Mn6M0q2F0bRm3Q]0:0">
    <vt:lpwstr>NDMlNTUiODIpMnAkOTIpORspH9Fh0rJo_Xd62G-j06tEM8A3PUYlOSdDMTM3JDEgM8IsL8UkH8E</vt:lpwstr>
  </property>
  <property fmtid="{D5CDD505-2E9C-101B-9397-08002B2CF9AE}" pid="830" name="[Mn-M0q2F0bRm3Q]0:0">
    <vt:lpwstr>NDMlNTUiODIpMnAkOTIpORspH9Fh0rJo_Xd62G-j06tEM8A3PUMlMls9MCskNlsl</vt:lpwstr>
  </property>
  <property fmtid="{D5CDD505-2E9C-101B-9397-08002B2CF9AE}" pid="831" name="[NDBM0q2F0bRm3Q]0:0">
    <vt:lpwstr>NDMlNTUiODIpMnAkOTIpORspH9Fh0rJo_Xd62G-j06tGM8E3H6sl</vt:lpwstr>
  </property>
  <property fmtid="{D5CDD505-2E9C-101B-9397-08002B2CF9AE}" pid="832" name="[NDFM0q2F0bRm3Q]0:0">
    <vt:lpwstr>NDMlNTUiODIpMnEmNRspH9Fh0rJo_Xd62G-j06tGM8A3PUYlOS5hRDIkKoUmMC93IpJFR7E3MQ</vt:lpwstr>
  </property>
  <property fmtid="{D5CDD505-2E9C-101B-9397-08002B2CF9AE}" pid="833" name="[NDJM0q2F0bRm3Q]0:0">
    <vt:lpwstr>NDMlNTUiODIpMnEmNRspH9Fh0rJo_Xd62G-j06tGM8A3H6sl</vt:lpwstr>
  </property>
  <property fmtid="{D5CDD505-2E9C-101B-9397-08002B2CF9AE}" pid="834" name="[NDNM0q2F0bRm3Q]0:0">
    <vt:lpwstr>NDMlNTUiODIpMnEmNRspH9Fh0rJo_Xd62G-j06tFM8A3Mn9nL81pH7QnOTMiNnU3MQ</vt:lpwstr>
  </property>
  <property fmtid="{D5CDD505-2E9C-101B-9397-08002B2CF9AE}" pid="835" name="[NDRM0q2F0bRm3Q]0:0">
    <vt:lpwstr>NDMlNTUiODIpMnIoMD1oMRspH9Fh0rJo_Xd62G-j06tGM8A3PUYlOSocRDIkO9UmMC93IpZBTFVFIRsl</vt:lpwstr>
  </property>
  <property fmtid="{D5CDD505-2E9C-101B-9397-08002B2CF9AE}" pid="836" name="[NDVM0q2F0bRm3Q]0:0">
    <vt:lpwstr>NDMlNTUiODIpMnIoMD1oMRspH9Fh0rJo_Xd62G-j06tGM8A3PUQmMChFM8A3JDMtMmssM6sl</vt:lpwstr>
  </property>
  <property fmtid="{D5CDD505-2E9C-101B-9397-08002B2CF9AE}" pid="837" name="[NDZM0q2F0bRm3Q]0:0">
    <vt:lpwstr>NDMlNTUiODIpMnIoMD1oMRspH9Fh0rJo_Xd62G-j06tGM8A3PUQmMChGMT93JDEsLD9kMCskNlsl</vt:lpwstr>
  </property>
  <property fmtid="{D5CDD505-2E9C-101B-9397-08002B2CF9AE}" pid="838" name="[ND2M0q2F0bRm3Q]0:0">
    <vt:lpwstr>NDMlNTUiODIpMnMpN8QsM6spH9Fh0rJo_Xd62G-j06tFM8A3H6sl</vt:lpwstr>
  </property>
  <property fmtid="{D5CDD505-2E9C-101B-9397-08002B2CF9AE}" pid="839" name="[ND6M0q2F0bRm3Q]0:0">
    <vt:lpwstr>NDMlNTUiODIpMnMpN8QsM6spH9Fh0rJo_Xd62G-j06tEM8A3H6sl</vt:lpwstr>
  </property>
  <property fmtid="{D5CDD505-2E9C-101B-9397-08002B2CF9AE}" pid="840" name="[ND-M0q2F0bRm3Q]0:0">
    <vt:lpwstr>NDMlNTUiODIpMnMpN8QsM6spH9Fh0rJo_Xd62G-j06tEM8A3PUMlMls9MCskNlsl</vt:lpwstr>
  </property>
  <property fmtid="{D5CDD505-2E9C-101B-9397-08002B2CF9AE}" pid="841" name="[NTBM0q2F0bRm3Q]0:0">
    <vt:lpwstr>NDMlNTUiODIpMnMpN8QsM6spH9Fh0rJo_Xd62G-j06tGM8A3H6sl</vt:lpwstr>
  </property>
  <property fmtid="{D5CDD505-2E9C-101B-9397-08002B2CF9AE}" pid="842" name="[NTFM0q2F0bRm3Q]0:0">
    <vt:lpwstr>NDMlNTUiODIpMnQrM8ImM6spH9Fh0rJo_Xd62G-j06tEM8A3H6sl</vt:lpwstr>
  </property>
  <property fmtid="{D5CDD505-2E9C-101B-9397-08002B2CF9AE}" pid="843" name="[NTJM0q2F0bRm3Q]0:0">
    <vt:lpwstr>NDMlNTUiODItMn1pH8E3Uq6j2mBB1rNd0a2hZWtoIG-iIEJm0r2nZXI</vt:lpwstr>
  </property>
  <property fmtid="{D5CDD505-2E9C-101B-9397-08002B2CF9AE}" pid="844" name="[NTNM0q2F0bRm3Q]0:0">
    <vt:lpwstr>NDMlNTUiODItMn9sMTQsMRstH9-i1rRm2WNo_Wxi1k</vt:lpwstr>
  </property>
  <property fmtid="{D5CDD505-2E9C-101B-9397-08002B2CF9AE}" pid="845" name="[NTRM0q2F0bRm3Q]0:0">
    <vt:lpwstr>NDMlNTUiODMnMTAlODUlORspH9Fh0rJo_Xd62G-j06tDM8A3NDQsL8IlH7QoND5iM8E3MQ</vt:lpwstr>
  </property>
  <property fmtid="{D5CDD505-2E9C-101B-9397-08002B2CF9AE}" pid="846" name="[NTVM0q2F0bRm3Q]0:0">
    <vt:lpwstr>NDMlNTUiODMnMnMnMnMnMlspH9Fh0rJo_Xd62G-j06tDMTU3NDQsL8IlH7QoND5iM8E5H8E</vt:lpwstr>
  </property>
  <property fmtid="{D5CDD505-2E9C-101B-9397-08002B2CF9AE}" pid="847" name="[NTZM0q2F0bRm3Q]0:0">
    <vt:lpwstr>NDMlNTUiODMnMn1tN8ItN6spH9Fh0rJo_Xd62G-j06tDM8A3PUMlNRs9NDQsL8IlH8E</vt:lpwstr>
  </property>
  <property fmtid="{D5CDD505-2E9C-101B-9397-08002B2CF9AE}" pid="848" name="[NT2M0q2F0bRm3Q]0:0">
    <vt:lpwstr>NDMlNTUiODMnNTEsNTEsNRspH9Fh0rJo_Xd62G-j06tDM8EuQnUoH8pDMTY3JDAiMDA3MQ</vt:lpwstr>
  </property>
  <property fmtid="{D5CDD505-2E9C-101B-9397-08002B2CF9AE}" pid="849" name="[NT6M0q2F0bRm3Q]0:0">
    <vt:lpwstr>NDMlNTUiODMnNTQlN8YqNlspH9Fh0rJo_Xd62G-j06tDM8EuQnUoH8pBQ-McJEM9MTUdH7QoND5iM8E3MQ</vt:lpwstr>
  </property>
  <property fmtid="{D5CDD505-2E9C-101B-9397-08002B2CF9AE}" pid="850" name="[NT-M0q2F0bRm3Q]0:0">
    <vt:lpwstr>NDMlNTUiODQkNTQnOT5lNRspH9Fh0rJo_Xd62G-j06tDM8A3NDQsL8IlH7QoND5iM8E3MQ</vt:lpwstr>
  </property>
  <property fmtid="{D5CDD505-2E9C-101B-9397-08002B2CF9AE}" pid="851" name="[N8BM0q2F0bRm3Q]0:0">
    <vt:lpwstr>NDMlNTUiODQkNTQnOT5lNRspH9Fh0rJo_Xd62G-j06tDMTU3H6sl</vt:lpwstr>
  </property>
  <property fmtid="{D5CDD505-2E9C-101B-9397-08002B2CF9AE}" pid="852" name="[N8FM0q2F0bRm3Q]0:0">
    <vt:lpwstr>NDMlNTUiODQkNTYrMTItN6spH9Fh0rJo_Xd62G-j06tDM8A3PUFCUm59QmQlNS93JDAiMDA3MQ</vt:lpwstr>
  </property>
  <property fmtid="{D5CDD505-2E9C-101B-9397-08002B2CF9AE}" pid="853" name="[N8JM0q2F0bRm3Q]0:0">
    <vt:lpwstr>NDMlNTUiODQkN8UtNnImM6spH9Fh0rJo_Xd62G-j06tDM8A3PUFCUm59QmQlNS93JDAiMDA3MQ</vt:lpwstr>
  </property>
  <property fmtid="{D5CDD505-2E9C-101B-9397-08002B2CF9AE}" pid="854" name="[N8NM0q2F0bRm3Q]0:0">
    <vt:lpwstr>NDMlNTUiODQnNDIpOTIpORspH9Fh0rJo_Xd62G-j06tDMTU3PVBNVC6DMTMjMTIgQnEmLDEsOTAkKRscJDQoOCsmMS93MQ</vt:lpwstr>
  </property>
  <property fmtid="{D5CDD505-2E9C-101B-9397-08002B2CF9AE}" pid="855" name="[N8RM0q2F0bRm3Q]0:0">
    <vt:lpwstr>NDMlNTUiODQrNDMkNTUpN6spH9Fh0rJo_Xd62G-j06tDMTU3PVBNVC6DMTMjMTIgQnEmLDEsOTAkKRscJDQoOCsmMS93MQ</vt:lpwstr>
  </property>
  <property fmtid="{D5CDD505-2E9C-101B-9397-08002B2CF9AE}" pid="856" name="[N8VM0q2F0bRm3Q]0:0">
    <vt:lpwstr>NDMlNTUiODQsND9pMn1kNBspH9Fh0rJo_Xd62G-j06tFM8A3PVBQTVQcQnEnLEImMClDMTIgR8EtKRshJDYmL85oH8E</vt:lpwstr>
  </property>
  <property fmtid="{D5CDD505-2E9C-101B-9397-08002B2CF9AE}" pid="857" name="[N8ZM0q2F0bRm3Q]0:0">
    <vt:lpwstr>NDMlNTUiODQsNnYlNT1oMRspH9Fh0rJo_Xd62G-j06tFM8E3H6sl</vt:lpwstr>
  </property>
  <property fmtid="{D5CDD505-2E9C-101B-9397-08002B2CF9AE}" pid="858" name="[N82M0q2F0bRm3Q]0:0">
    <vt:lpwstr>NDMlNTUiODQsOTEmMDMrH8U3QWpj1bRd3aFo_WxiH9UmMBsxUFBNVC6DMTMgQ8IkLEMlM7clM7lGMT9dH7QkL8AkH8E</vt:lpwstr>
  </property>
  <property fmtid="{D5CDD505-2E9C-101B-9397-08002B2CF9AE}" pid="859" name="[N86M0q2F0bRm3Q]0:0">
    <vt:lpwstr>NDMlNTUiODUkNDUlMn5sORspH9Fh0rJo_Xd62G-j06tFM8A3PVBQTVQcQnEnLEImMClDMTIgQnElKRs9N8IiODQ3MQ</vt:lpwstr>
  </property>
  <property fmtid="{D5CDD505-2E9C-101B-9397-08002B2CF9AE}" pid="860" name="[N8-M0q2F0bRm3Q]0:0">
    <vt:lpwstr>NDMlNTUiODUlNDYtOTArNBspH9Fh0rJo_Xd62G-j06tFM8A3PVBQTVQcQnEnLEImMClDMTIeMTIgQnElKRs9MCskMBsl</vt:lpwstr>
  </property>
  <property fmtid="{D5CDD505-2E9C-101B-9397-08002B2CF9AE}" pid="861" name="[NnBM0q2F0bRm3Q]0:0">
    <vt:lpwstr>NDMlNTUiODUnMDYrMTItN6spH9Fh0rJo_Xd62G-j06tFM8A3PVBQTVQcQnEnLEImMClDMTIeMTIgQnElKRs9MCskMBsl</vt:lpwstr>
  </property>
  <property fmtid="{D5CDD505-2E9C-101B-9397-08002B2CF9AE}" pid="862" name="[NnFM0q2F0bRm3Q]0:0">
    <vt:lpwstr>NDMlNTUiODUnMnEkMT5pM6spH9Fh0rJo_Xd62G-j06tFM8A3PVBQTVQcQnEnLEImMClDMTIjMTIgQnElKRs9NCkmOD5iNDY3MQ</vt:lpwstr>
  </property>
  <property fmtid="{D5CDD505-2E9C-101B-9397-08002B2CF9AE}" pid="863" name="[NnJM0q2F0bRm3Q]0:0">
    <vt:lpwstr>NDMlNTUiODUnNTAqOTQoNBspH9Fh0rJo_Xd62G-j06tFM8A3PVBQTVQcQnEnLEImMClDMTIgQnElKRs9N8IiODQ3MQ</vt:lpwstr>
  </property>
  <property fmtid="{D5CDD505-2E9C-101B-9397-08002B2CF9AE}" pid="864" name="[NnNM0q2F0bRm3Q]0:0">
    <vt:lpwstr>NDMlNTUiODUoMTYqN8YqNlspH9Fh0rJo_Xd62G-j06tFM8A3PVBQTVQcQnEnLEImMClDMTIgR8EtKRshJDYmL85oH8E</vt:lpwstr>
  </property>
  <property fmtid="{D5CDD505-2E9C-101B-9397-08002B2CF9AE}" pid="865" name="[NnRM0q2F0bRm3Q]0:0">
    <vt:lpwstr>NDMlNTUiODUpMTEpNnQkNlspH9Fh0rJo_Xd62G-j06tEM8A3PU-QTVQcQnEnLEImMClDMTIeMTIgQnElKRs9MSkmM85iNTA3MQ</vt:lpwstr>
  </property>
  <property fmtid="{D5CDD505-2E9C-101B-9397-08002B2CF9AE}" pid="866" name="[NnVM0q2F0bRm3Q]0:0">
    <vt:lpwstr>NDMlNTUiODUpMnMpN8QsM6spH9Fh0rJo_Xd62G-j06tEM8A3PU-QTVQcQnEnLEImMClDMTIgQnElKRs9MSkmM85iNTA3MQ</vt:lpwstr>
  </property>
  <property fmtid="{D5CDD505-2E9C-101B-9397-08002B2CF9AE}" pid="867" name="[NnZM0q2F0bRm3Q]0:0">
    <vt:lpwstr>NDMlNTUiODUqMT9mMTItN6spH9Fh0rJo_Xd62G-j06tEM8A3H6sl</vt:lpwstr>
  </property>
  <property fmtid="{D5CDD505-2E9C-101B-9397-08002B2CF9AE}" pid="868" name="[Nn2M0q2F0bRm3Q]0:0">
    <vt:lpwstr>NDMlNTUiODUqMT9mMTItN6spH9Fh0rJo_Xd62G-j06tFM8A3H6sl</vt:lpwstr>
  </property>
  <property fmtid="{D5CDD505-2E9C-101B-9397-08002B2CF9AE}" pid="869" name="[Nn6M0q2F0bRm3Q]0:0">
    <vt:lpwstr>NDMlNTUiODUsOTYtOTArNBspH9Fh0rJo_Xd62G-j06tFM8A3PVBQTVQcQnEnLEMlM7wlM7lCM8AgQnEmLEYlOS93IotVTSE3MQ</vt:lpwstr>
  </property>
  <property fmtid="{D5CDD505-2E9C-101B-9397-08002B2CF9AE}" pid="870" name="[Nn-M0q2F0bRm3Q]0:0">
    <vt:lpwstr>NDMlNTUiODUtND1tMTYqNlspH9Fh0rJo_Xd62G-j06tFM8A3PVBQTVQcQnEnLEMlM7wlM7lCM8AgQnEmKRs8T-VNIRsl</vt:lpwstr>
  </property>
  <property fmtid="{D5CDD505-2E9C-101B-9397-08002B2CF9AE}" pid="871" name="[ODBM0q2F0bRm3Q]0:0">
    <vt:lpwstr>NDMlNTUiODYlMnUoMTYqNlspH9Fh0rJo_Xd62G-j06tFM8A3PVBQTVQcQnEnLEMlM7wlM7lCM8AgQnEmMC93IotVTSE3MQ</vt:lpwstr>
  </property>
  <property fmtid="{D5CDD505-2E9C-101B-9397-08002B2CF9AE}" pid="872" name="[ODFM0q2F0bRm3Q]0:0">
    <vt:lpwstr>NDMlNTUiODYlNDQqNnUtMlspH9Fh0rJo_Xd62G-j06tFM8A3PVBQTVQcQnEnLEMlM7wlM7lCM8AgQnEmKRs8T-VNIRsl</vt:lpwstr>
  </property>
  <property fmtid="{D5CDD505-2E9C-101B-9397-08002B2CF9AE}" pid="873" name="[ODJM0q2F0bRm3Q]0:0">
    <vt:lpwstr>NDMlNTUiODYlNTMtMnUlOBspH9Fh0rJo_Xd62G-j06tFM8A3PVBQTVQcQnEnLEMlM7wlM7lCM8AgQnEmKRs8T-VNIRsl</vt:lpwstr>
  </property>
  <property fmtid="{D5CDD505-2E9C-101B-9397-08002B2CF9AE}" pid="874" name="[ODNM0q2F0bRm3Q]0:0">
    <vt:lpwstr>NDMlNTUiODYnNTUnM8QkNlspH9Fh0rJo_Xd62G-j06tFM8A3PVBQTVQcJEM9MTMjMTIgQ8IkLCRDJDEmLCRDJDElKRs9MnQpL85oH8E</vt:lpwstr>
  </property>
  <property fmtid="{D5CDD505-2E9C-101B-9397-08002B2CF9AE}" pid="875" name="[ODRM0q2F0bRm3Q]0:0">
    <vt:lpwstr>NDMlNTUiODYoM89nOT5lNRspH9Fh0rJo_Xd62G-j06tFM8EuRTMoH8pQUEpUKCRDJDEnLnEmLEImMSk9QmQlM7k9QmQlMS93JDMoNmsrMRsl</vt:lpwstr>
  </property>
  <property fmtid="{D5CDD505-2E9C-101B-9397-08002B2CF9AE}" pid="876" name="[ODVM0q2F0bRm3Q]0:0">
    <vt:lpwstr>NDMlNTUiODYoND1tMTYqNlspH9Fh0rJo_Xd62G-j06tFMnUuRTYrH8pQUEpUKCRDJDEnLnEmLEInNSk9QmQlM7k9QmQlMS93JDMrNSskMlsl</vt:lpwstr>
  </property>
  <property fmtid="{D5CDD505-2E9C-101B-9397-08002B2CF9AE}" pid="877" name="[ODZM0q2F0bRm3Q]0:0">
    <vt:lpwstr>NDMlNTUiODYrND5sNDIpORspH9Fh0rJo_Xd62G-j06tEM8A3PU-QTVQcJEM9MTMgQnEmLnEmLEImMCk9QmQlMS93IotVTSE3MQ</vt:lpwstr>
  </property>
  <property fmtid="{D5CDD505-2E9C-101B-9397-08002B2CF9AE}" pid="878" name="[OD2M0q2F0bRm3Q]0:0">
    <vt:lpwstr>NDMlNTUiODYrNTQqM89qMlspH9Fh0rJo_Xd62G-j06tEM8E3H6sl</vt:lpwstr>
  </property>
  <property fmtid="{D5CDD505-2E9C-101B-9397-08002B2CF9AE}" pid="879" name="[OD6M0q2F0bRm3Q]0:0">
    <vt:lpwstr>NDMlNTUiODYtODMrOTYnH8U3QWpj1bRd3aFo_WxiH9QmMBsxSVBNVC59QmQlMmlDMTIjMTIgQ8IkLCRDJDEmKRs8T-VNIRsl</vt:lpwstr>
  </property>
  <property fmtid="{D5CDD505-2E9C-101B-9397-08002B2CF9AE}" pid="880" name="[OD-M0q2F0bRm3Q]0:0">
    <vt:lpwstr>NDMlNTUiODYtOD1mN85pM6spH9Fh0rJo_Xd62G-j06tEM8E3H6sl</vt:lpwstr>
  </property>
  <property fmtid="{D5CDD505-2E9C-101B-9397-08002B2CF9AE}" pid="881" name="[OTBM0q2F0bRm3Q]0:0">
    <vt:lpwstr>NDMlNTUiOD1lNn9nOT5lNRspH9Fh0rJo_Xd62G-j06tEM8A3PU-QTVQcJEM9MTMjMTIgQ8IkLCRFJDIkLEMlMS93JDEkM7snOBsl</vt:lpwstr>
  </property>
  <property fmtid="{D5CDD505-2E9C-101B-9397-08002B2CF9AE}" pid="882" name="[OTFM0q2F0bRm3Q]0:0">
    <vt:lpwstr>NDMlNTUiOD1mMDMrMDMrH8U3QWpj1bRd3aFo_WxiH9QmMTdENTE3PU-QTVQcJEM9MTMjMTIgQ8IlLCRFJDIkLEMlM793LSQkL8IqH8E</vt:lpwstr>
  </property>
  <property fmtid="{D5CDD505-2E9C-101B-9397-08002B2CF9AE}" pid="883" name="[OTJM0q2F0bRm3Q]0:0">
    <vt:lpwstr>NDMlNTUiOD1nNT9tNTMrH8U3QWpj1bRd3aFo_WxiH9QmMBsxSVBNVC59QmQlMmwlM7lCM8AgJEU9M8AgQnElLDAgMC93JDEkM7snOBsl</vt:lpwstr>
  </property>
  <property fmtid="{D5CDD505-2E9C-101B-9397-08002B2CF9AE}" pid="884" name="[OTNM0q2F0bRm3Q]0:0">
    <vt:lpwstr>NDMlNTUiOD1nN89mMTItN6spH9Fh0rJo_Xd62G-j06tEM8I3PU-QTVQcJEM9MTMjMTIgQ8ImLCRFJDIkLEMlMm93JDAiMDA3MQ</vt:lpwstr>
  </property>
  <property fmtid="{D5CDD505-2E9C-101B-9397-08002B2CF9AE}" pid="885" name="[OTRM0q2F0bRm3Q]0:0">
    <vt:lpwstr>NDMlNTUiOD1nNnIqODUlORspH9Fh0rJo_Xd62G-j06tEM8EuRDInH8pJUEpUKCRDJDEnLnEmLEImMSk9RSQmMClDMTIgMCkkKRshJDAiM8Y3MQ</vt:lpwstr>
  </property>
  <property fmtid="{D5CDD505-2E9C-101B-9397-08002B2CF9AE}" pid="886" name="[OTVM0q2F0bRm3Q]0:0">
    <vt:lpwstr>NDMlNTUiOD1nOT9nMDUpN6spH9Fh0rJo_Xd62G-j06tEM8EuRDUlH6s3MQ</vt:lpwstr>
  </property>
  <property fmtid="{D5CDD505-2E9C-101B-9397-08002B2CF9AE}" pid="887" name="[OTZM0q2F0bRm3Q]0:0">
    <vt:lpwstr>NDMlNTUiOD1oMDIrNn1rOBspH9Fh0rJo_Xd62G-j06tEM8E3PU-QTVQcJEM9MTMjMTIgQ8IlLCRFJDIkLEMlM7kkLDAdH7o9MCsmN6sl</vt:lpwstr>
  </property>
  <property fmtid="{D5CDD505-2E9C-101B-9397-08002B2CF9AE}" pid="888" name="[OT2M0q2F0bRm3Q]0:0">
    <vt:lpwstr>NDMlNTUiOD1pND9rN85pM6spH9Fh0rJo_Xd62G-j06tEM8E3PU-QTVQcJEM9MTMjMTIgQ8IlLCRFJDIkLEMlM7kkLDAdH7o9MCsmN6sl</vt:lpwstr>
  </property>
  <property fmtid="{D5CDD505-2E9C-101B-9397-08002B2CF9AE}" pid="889" name="[OT6M0q2F0bRm3Q]0:0">
    <vt:lpwstr>NDMlNTUiOD1rMn9pODMnMlspH9Fh0rJo_Xd62G-j06tEM8A3PU-QTVQcJEM9MTMjMTIgQ8IkLCRDJDEmLEMlMS93JDEkM7snOBsl</vt:lpwstr>
  </property>
  <property fmtid="{D5CDD505-2E9C-101B-9397-08002B2CF9AE}" pid="890" name="[OT-M0q2F0bRm3Q]0:0">
    <vt:lpwstr>NDMlNTUiOD1rND5sNDIpORspH9Fh0rJo_Xd62G-j06tEM8EuRDIoH8pJUEpUKCRDJDEnLnEmLEImMSk9QmQlM7lDMTIdH7o9MCsmN6sl</vt:lpwstr>
  </property>
  <property fmtid="{D5CDD505-2E9C-101B-9397-08002B2CF9AE}" pid="891" name="[MTAkTGxbRWto1b9]0:0">
    <vt:lpwstr>NDMlNTUiOD1rNTInMTQsMRspH9Fh0rJo_Xd62G-j06tEM8UuRDMlH8pJUEpUKCRDJDEnLnEmLEImNSk9QmQlM7lDMTYdH7QkL8AkH8E</vt:lpwstr>
  </property>
  <property fmtid="{D5CDD505-2E9C-101B-9397-08002B2CF9AE}" pid="892" name="[MTAlTGxbRWto1b9]0:0">
    <vt:lpwstr>NDMlNTUiOD1rNT9mNT9mN6spH9Fh0rJo_Xd62G-j06tEM8IuRDMlH6s3MQ</vt:lpwstr>
  </property>
  <property fmtid="{D5CDD505-2E9C-101B-9397-08002B2CF9AE}" pid="893" name="[MTAmTGxbRWto1b9]0:0">
    <vt:lpwstr>NDMlNTUiOD1rOT1oNTMrH8U3QWpj1bRd3aFo_WxiH9QmMBsxSVBNVC59QmQlMmwlM7lCM8AgJEM9MTIgR8EtKRshJDEkM7snOBsl</vt:lpwstr>
  </property>
  <property fmtid="{D5CDD505-2E9C-101B-9397-08002B2CF9AE}" pid="894" name="[MTAnTGxbRWto1b9]0:0">
    <vt:lpwstr>NDMlNTUiOD1sMDIkODMnMlspH9Fh0rJo_Xd62G-j06tEM8EuRDItH8pJUEpUKCRDJDEnLnEmLEImMSk9QmQlM7lGM8AdH7QkL8AkH8E</vt:lpwstr>
  </property>
  <property fmtid="{D5CDD505-2E9C-101B-9397-08002B2CF9AE}" pid="895" name="[MTAoTGxbRWto1b9]0:0">
    <vt:lpwstr>NDMlNTUiOD1sMDQnOT5lNRspH9Fh0rJo_Xd62G-j06tEMnAuRDMnH8pJUEpUKCRDJDEnLnEmLEInMCk9QmQlM7lGM89dH7QkL8AkH8E</vt:lpwstr>
  </property>
  <property fmtid="{D5CDD505-2E9C-101B-9397-08002B2CF9AE}" pid="896" name="[MTApTGxbRWto1b9]0:0">
    <vt:lpwstr>NDMlNTUiOD1sMD9kM81rOBspH9Fh0rJo_Xd62G-j06tEM8IuRDMnH6s3MQ</vt:lpwstr>
  </property>
  <property fmtid="{D5CDD505-2E9C-101B-9397-08002B2CF9AE}" pid="897" name="[MTAqTGxbRWto1b9]0:0">
    <vt:lpwstr>NDMlNTUiOD1sM8UmMnEoOBspH9Fh0rJo_Xd62G-j06tEM8A3PU-QTVQcJEM9MTMjMTIgQ8IkLCRDJDEmLEMlMS93JDEkM7snOBsl</vt:lpwstr>
  </property>
  <property fmtid="{D5CDD505-2E9C-101B-9397-08002B2CF9AE}" pid="898" name="[MTArTGxbRWto1b9]0:0">
    <vt:lpwstr>NDMlNTUiOD1sM89sN8ElMRspH9Fh0rJo_Xd62G-j06tEM8E3PU-QTVQcJEM9MTMjMTIgQ8IlLCRDJDEmLEMlM793LSQkL8IqH8E</vt:lpwstr>
  </property>
  <property fmtid="{D5CDD505-2E9C-101B-9397-08002B2CF9AE}" pid="899" name="[MTAsTGxbRWto1b9]0:0">
    <vt:lpwstr>NDMlNTUiOD1tMnErMTItN6spH9Fh0rJo_Xd62G-j06tEM8A3PU-QTVQcJEM9MTMjMTIgQ8IkLCRDJDEmLCRDJDElKRs9MTAmL8MsH8E</vt:lpwstr>
  </property>
  <property fmtid="{D5CDD505-2E9C-101B-9397-08002B2CF9AE}" pid="900" name="[MTAtTGxbRWto1b9]0:0">
    <vt:lpwstr>NDMlNTUiOD1tMnUlODUlORspH9Fh0rJo_Xd62G-j06tEM8EuRDIoH8pJUEpUKCRDJDEnLnEmLEImMSk9QmQlM7k9QmQlMS93JDEkMCspMBsl</vt:lpwstr>
  </property>
  <property fmtid="{D5CDD505-2E9C-101B-9397-08002B2CF9AE}" pid="901" name="[MTEkTGxbRWto1b9]0:0">
    <vt:lpwstr>NDMlNTUiOD1tNT1lNnUtMlspH9Fh0rJo_Xd62G-j06tEM8UuRDYrH8pJUEpUKCRDJDEnLnEmLEImNSk9QmQlM7k9QmQlMS93JD9mL89lH8E</vt:lpwstr>
  </property>
  <property fmtid="{D5CDD505-2E9C-101B-9397-08002B2CF9AE}" pid="902" name="[MTElTGxbRWto1b9]0:0">
    <vt:lpwstr>NDMlNTUiOD5kMDUrOD1kNBspH9Fh0rJo_Xd62G-j06tGM8A3PUYlOSpDM8A3JDEsLDQpMSsrORsl</vt:lpwstr>
  </property>
  <property fmtid="{D5CDD505-2E9C-101B-9397-08002B2CF9AE}" pid="903" name="[MTEmTGxbRWto1b9]0:0">
    <vt:lpwstr>NDMlNTUiOD5kN85mOD1kNBspH9Fh0rJo_Xd62G-j06tGM8A3H6sl</vt:lpwstr>
  </property>
  <property fmtid="{D5CDD505-2E9C-101B-9397-08002B2CF9AE}" pid="904" name="[MTEnTGxbRWto1b9]0:0">
    <vt:lpwstr>NDMlNTUiOD5kNn5rMDMrH8U3QWpj1bRd3aFo_WxiH9YmMBsxR8EtLUUmMBs9MT5gNTUoL8EqH8E</vt:lpwstr>
  </property>
  <property fmtid="{D5CDD505-2E9C-101B-9397-08002B2CF9AE}" pid="905" name="[MTEoTGxbRWto1b9]0:0">
    <vt:lpwstr>NDMlNTUiOD5kOD9lM8AnNlspH9Fh0rJo_Xd62G-j06tGM8EuR8YrH8pGM8AhRTIlH7QlOCkmMDYiNDU3MQ</vt:lpwstr>
  </property>
  <property fmtid="{D5CDD505-2E9C-101B-9397-08002B2CF9AE}" pid="906" name="[MTEpTGxbRWto1b9]0:0">
    <vt:lpwstr>NDMlNTUiOD5lNDEmMDMrH8U3QWpj1bRd3aFo_WxiH91lM6sxUpVNKEMmMDdDN81dH7QmMSkpMTQiM8E3MQ</vt:lpwstr>
  </property>
  <property fmtid="{D5CDD505-2E9C-101B-9397-08002B2CF9AE}" pid="907" name="[MTEqTGxbRWto1b9]0:0">
    <vt:lpwstr>NDMlNTUiOD5lN85tODEoOBspH9Fh0rJo_Xd62G-j06tHMTM3PVNVTS6EM8AuRDYrKRs9M7kqMTQiM8E3MQ</vt:lpwstr>
  </property>
  <property fmtid="{D5CDD505-2E9C-101B-9397-08002B2CF9AE}" pid="908" name="[MTErTGxbRWto1b9]0:0">
    <vt:lpwstr>NDMlNTUiOD5qM8MsNDIpORspH9Fh0rJo_Xd62G-j06tHMTQ3PUYlOShHMTM3JDIlLDUlNCsmMRsl</vt:lpwstr>
  </property>
  <property fmtid="{D5CDD505-2E9C-101B-9397-08002B2CF9AE}" pid="909" name="[MTEsTGxbRWto1b9]0:909">
    <vt:lpwstr>NDMlNTUiOD9pNDIsM8QkNlspH9Zj2XI5SbM5UGFd0bRd0a13RDI3Raxp17BKJrM5UGFd0bRd0a15_XM5YSBc0qp-IHB6_Wto_WtbIGNj0bRmYWNo0rI52G662CB80qpk0GVoZXM5_WtoZXJd0rI51GFd0bRd0a152qxm_mBa0rI50aVrIGNj0bNo1bV82G-j07Bk1axeZWNo1ms5Raxp17BKJrM5UGFd0bRd0a15_GFnIGZj2XI5ZWpk0GxtZWV</vt:lpwstr>
  </property>
  <property fmtid="{D5CDD505-2E9C-101B-9397-08002B2CF9AE}" pid="910" name="[MTEsTGxbRWto1b9]908:910">
    <vt:lpwstr>nO7BK_WogIEdd0GkgIEd6_qUgIGFiZCBKZWti_WZ-17s5WWxpIG662aU5YaV-07Bc_XJ-ZCBo0mB9ZXR-1apd0aU5_GxrIHRcZSB80qpkYWttIGN607B7ZSBh0rJ-IGVaZa-8_WVi2CB60aQ51HJj2a-9ZSB7ZXRoZXI51qVm2a-8ZSs5WWxpIG662aU52HJ6Yqh-ZCBd0aZj1ap62G-j07Bj07Bo_GU50GFn2CAmMCBkYW-i2G-iZmBk1axeZW</vt:lpwstr>
  </property>
  <property fmtid="{D5CDD505-2E9C-101B-9397-08002B2CF9AE}" pid="911" name="[MTEsTGxbRWto1b9]909:911">
    <vt:lpwstr>No1mBd07BoYWJgZSAlL7BF0XBg0r--ZXM51aV8ZW-qZSB70qtp1qVnIGZj17B-ZaZdYq--0bQ5YWt9IG6dZq5h1XV60G-o3SBr0rJfL7BPYqN61q-j0aFg0H9gIHNj0WU5_ax71mBmZXFp_XJ-IGF9ZG-o_WxiYWk52qxm_mBo0mB80rJmZWNoIGZgYX2nIC6o0rV8_Cpp1CBr0rJfKSs5SWta0rJhYXRd0qs5YWJj2XQ52G6-IHBm0qd-YrRnI</vt:lpwstr>
  </property>
  <property fmtid="{D5CDD505-2E9C-101B-9397-08002B2CF9AE}" pid="912" name="[MTEsTGxbRWto1b9]910:912">
    <vt:lpwstr>HRcYXQ51aVl2W-mZWQ52GxpYq5h2XA52qxm_mBd1mBn2GxmZWQ5_Ws52GF70GU5M7s5VGF70GU5MmBn2WphYXJd3aVnIG-iZaxm0WFo_WxiIGF70rVoIHRcZSB-0XBg0r--ZXMiIFR6Yal-IDQ5YqFoZW2j1a-uZXM52G6-IHBm0qd-YrRnIGF8YqxmZG-iZmBo0mB9_WZa_WNp0HRtL7BD0qpk0GVoZSBoYWJgZXM5MSBo_HJj2W2cIDQ52Gw5</vt:lpwstr>
  </property>
  <property fmtid="{D5CDD505-2E9C-101B-9397-08002B2CF9AE}" pid="913" name="[MTEsTGxbRWto1b9]911:913">
    <vt:lpwstr>ZGVoZXJh_Wt-IG6j2mBo0mBh0rJ-IGVaZa-8_WVi2GltIGFiZCB-ZaZ-YrRd2aVg3SBm2Ws52G6-IGNj0XB60b9iIENj0XBgZXR-IGV6Yq552GFn_mBn0mBo_GFoIHRcZSBa0rJh2Wl61mBt0rU52XN-IGN607B7ZSB80rBdZWQ5YWt9IHB61rR-ZCB90r2iIHRjIGNj0XBgZXR-IHRcZSB80qlp0WtnIGxaIHRcZSBoYWJgZXMiIERjIGtj2CB</vt:lpwstr>
  </property>
  <property fmtid="{D5CDD505-2E9C-101B-9397-08002B2CF9AE}" pid="914" name="[MTEsTGxbRWto1b9]912:914">
    <vt:lpwstr>iYWp-IH-j2XI50Gxj_rVkIHR6Yal-1ng51aFo_GVmLCBt0rU51q6j2Wl9IGh-ZXA52G6-0SB61mBmZWZ-1aViYqVnIC6-La1iIEIlN8dDMnAdL6tG0rVmIEcb1mBQYW-i2G-iZmBd1mB6IG6j0WU51GFd0bRd0a15Yqxi2HJ6YrRj17Bo_GFoIGNj0XBgZXR-1mBd0bR-1a-j17BkYW-i2G-iZmBr0rJfIGZj17BiZX15Yqxi1rRm2WNo_WxiIH</vt:lpwstr>
  </property>
  <property fmtid="{D5CDD505-2E9C-101B-9397-08002B2CF9AE}" pid="915" name="[MTEsTGxbRWto1b9]913:915">
    <vt:lpwstr>Bm0qd-YrRnL7BG0rVmIEcb1mBQYW-i2G-iZmBcYXM5Zaxp17B-0XBg0r--ZXMuIEdd0Sk5Sa-g0Ck5SaFfZSk5YWt9IEd-0atdZaVmL7BZ0rU5_GFqZSB7ZWViIG6d1aV9IHRjIGR-2GVm0W-iZSBc0r152G6-IGNj0XB60b95YqFiIGJ-IGpj1aU5ZWZa_WNdZWtoIGFiZCBk1axq_WR-IGJ-2HR-17BnZXJq_WN-L7BZ0rU5_GFqZSBo1aF8_</vt:lpwstr>
  </property>
  <property fmtid="{D5CDD505-2E9C-101B-9397-08002B2CF9AE}" pid="916" name="[MTEsTGxbRWto1b9]914:916">
    <vt:lpwstr>qV9IG-iZaxm0WFo_WxiIGxiIHRcZSBgYXNoIDIkIHB6_Wto_WtbIHBm0qd-YrRnIG-iIHR6Yal-IDEiIEVh1Glj3WV-1mBmZWN-_XZ-IGJj0bVnZXM5ZaxmIGVaZa-8_WVi2CB60aQ5_G-b_Cpl2WFg_XRtIH2j1agiIEx8YqFn_WxiYWlg3Sk51qxhZSBe0qJnIHJ-1XVd1aU5YWR9_XRd0qt60CBr0rJfIHRjIGNj1bJ-YrQ5Zal62rM5KHRj</vt:lpwstr>
  </property>
  <property fmtid="{D5CDD505-2E9C-101B-9397-08002B2CF9AE}" pid="917" name="[MTEsTGxbRWto1b9]915:917">
    <vt:lpwstr>2WNcLXVkIH2j1agdL7BJ0aZj1ap62G-j07B6Yaxp2CBo_GU51HJj_aV82HM52G662CBmZXFp_XJ-ZCBo0rV8_Cpp1CBr0rJfIG-nIHNo0rJ-ZCBd07BoYWJgZSAmL7BUYWJgZSAnIHNp0Wp61a-uZXM5_Wta0rJhYXRd0qs5YWJj2XQ52G6-IGVh1Glj3WV-1ms5VGF70GU5NCB8YXR-Zqxm_Xd-1mBo_GU51HJj_aV82HM5YWN80rJ9_WtbIHR</vt:lpwstr>
  </property>
  <property fmtid="{D5CDD505-2E9C-101B-9397-08002B2CF9AE}" pid="918" name="[MTEsTGxbRWto1b9]916:918">
    <vt:lpwstr>jIGRdZaZdYrVg2H9iIENj0XBgZXR-IHR6Yal-1mAlIHRc1axpZq55NCBo0mB9ZXR-1apd0aU5_GxrIHRjIGpj1aU5ZWZa_WNdZWto0H95YWt9IGVaZaV82G-qZWltIHJp07Bo_GU5Yqxh1GFi3Ss5Qqxh1Gl-2GU5ZWF8_CBoYXNfIHNjIHRcYXQ52G6-IGZj1app0GFnIH-j2SBp1qU5YqFiIGJ-IGNj1G--ZCB60aQ51GFn2GV9IGRj2qs52G</vt:lpwstr>
  </property>
  <property fmtid="{D5CDD505-2E9C-101B-9397-08002B2CF9AE}" pid="919" name="[MTEsTGxbRWto1b9]917:0">
    <vt:lpwstr>w5Yqxh1Gl-2GU52G6-IGNj0HVh0bM50qY52G6-IHR6Yal-1ms5RGw50axoIGt60WU53Wxp17Bg0qxf2XA52GF70GVnOmBmYXRcZXIgIH-j2SBn_Gxp0GQ5_qV-1CBo_GVhIGFnIHJ-ZaVmZWt8ZXM5KGUiZms5Q8EqO9MnMC9iH8E</vt:lpwstr>
  </property>
  <property fmtid="{D5CDD505-2E9C-101B-9397-08002B2CF9AE}" pid="920" name="[MTEtTGxbRWto1b9]0:920">
    <vt:lpwstr>NDMlNTUiOD9pNDUlMn5sORspH9Zj2XI5SbM5UGFd0bRd0a13RDI3Raxp17BKJrM5UGFd0bRd0a15_XM5YSBc0qp-IHB6_Wto_WtbIGNj0bRmYWNo0rI52G662CB80qpk0GVoZXM5_WtoZXJd0rI51GFd0bRd0a152qxm_mBa0rI50aVrIGNj0bNo1bV82G-j07Bk1axeZWNo1ms5Raxp17BKJrM5UGFd0bRd0a15_GFnIGZj2XI5ZWpk0GxtZWV</vt:lpwstr>
  </property>
  <property fmtid="{D5CDD505-2E9C-101B-9397-08002B2CF9AE}" pid="921" name="[MTEtTGxbRWto1b9]919:921">
    <vt:lpwstr>nO7BK_WogIEdd0GkgIEd6_qUgIGFiZCBKZWti_WZ-17s5WWxpIG662aU5YaV-07Bc_XJ-ZCBo0mB9ZXR-1apd0aU5_GxrIHRcZSB80qpkYWttIGN607B7ZSBh0rJ-IGVaZa-8_WVi2CB60aQ51HJj2a-9ZSB7ZXRoZXI51qVm2a-8ZSs5WWxpIG662aU52HJ6Yqh-ZCBd0aZj1ap62G-j07Bj07Bo_GU50GFn2CAmMCBkYW-i2G-iZmBk1axeZW</vt:lpwstr>
  </property>
  <property fmtid="{D5CDD505-2E9C-101B-9397-08002B2CF9AE}" pid="922" name="[MTEtTGxbRWto1b9]920:922">
    <vt:lpwstr>No1mBd07BoYWJgZSAlL7BF0XBg0r--ZXM51aV8ZW-qZSB70qtp1qVnIGZj17B-ZaZdYq--0bQ5YWt9IG6dZq5h1XV60G-o3SBr0rJfL7BPYqN61q-j0aFg0H9gIHNj0WU5_ax71mBmZXFp_XJ-IGF9ZG-o_WxiYWk52qxm_mBo0mB80rJmZWNoIGZgYX2nIC6o0rV8_Cpp1CBr0rJfKSs5SWta0rJhYXRd0qs5YWJj2XQ52G6-IHBm0qd-YrRnI</vt:lpwstr>
  </property>
  <property fmtid="{D5CDD505-2E9C-101B-9397-08002B2CF9AE}" pid="923" name="[MTEtTGxbRWto1b9]921:923">
    <vt:lpwstr>HRcYXQ51aVl2W-mZWQ52GxpYq5h2XA52qxm_mBd1mBn2GxmZWQ5_Ws52GF70GU5M7s5VGF70GU5MmBn2WphYXJd3aVnIG-iZaxm0WFo_WxiIGF70rVoIHRcZSB-0XBg0r--ZXMiIFR6Yal-IDQ5YqFoZW2j1a-uZXM52G6-IHBm0qd-YrRnIGF8YqxmZG-iZmBo0mB9_WZa_WNp0HRtL7BD0qpk0GVoZSBoYWJgZXM5MSBo_HJj2W2cIDQ52Gw5</vt:lpwstr>
  </property>
  <property fmtid="{D5CDD505-2E9C-101B-9397-08002B2CF9AE}" pid="924" name="[MTEtTGxbRWto1b9]922:924">
    <vt:lpwstr>ZGVoZXJh_Wt-IG6j2mBo0mBh0rJ-IGVaZa-8_WVi2GltIGFiZCB-ZaZ-YrRd2aVg3SBm2Ws52G6-IGNj0XB60b9iIENj0XBgZXR-IGV6Yq552GFn_mBn0mBo_GFoIHRcZSBa0rJh2Wl61mBt0rU52XN-IGN607B7ZSB80rBdZWQ5YWt9IHB61rR-ZCB90r2iIHRjIGNj0XBgZXR-IHRcZSB80qlp0WtnIGxaIHRcZSBoYWJgZXMiIERjIGtj2CB</vt:lpwstr>
  </property>
  <property fmtid="{D5CDD505-2E9C-101B-9397-08002B2CF9AE}" pid="925" name="[MTEtTGxbRWto1b9]923:925">
    <vt:lpwstr>iYWp-IH-j2XI50Gxj_rVkIHR6Yal-1ng51aFo_GVmLCBt0rU51q6j2Wl9IGh-ZXA52G6-0SB61mBmZWZ-1aViYqVnIC6-La1iIEIlN8dDMnAdL6tG0rVmIEcb1mBQYW-i2G-iZmBd1mB6IG6j0WU51GFd0bRd0a15Yqxi2HJ6YrRj17Bo_GFoIGNj0XBgZXR-1mBd0bR-1a-j17BkYW-i2G-iZmBr0rJfIGZj17BiZX15Yqxi1rRm2WNo_WxiIH</vt:lpwstr>
  </property>
  <property fmtid="{D5CDD505-2E9C-101B-9397-08002B2CF9AE}" pid="926" name="[MTEtTGxbRWto1b9]924:926">
    <vt:lpwstr>Bm0qd-YrRnL7BG0rVmIEcb1mBQYW-i2G-iZmBcYXM5Zaxp17B-0XBg0r--ZXMuIEdd0Sk5Sa-g0Ck5SaFfZSk5YWt9IEd-0atdZaVmL7BZ0rU5_GFqZSB7ZWViIG6d1aV9IHRjIGR-2GVm0W-iZSBc0r152G6-IGNj0XB60b95YqFiIGJ-IGpj1aU5ZWZa_WNdZWtoIGFiZCBk1axq_WR-IGJ-2HR-17BnZXJq_WN-L7BZ0rU5_GFqZSBo1aF8_</vt:lpwstr>
  </property>
  <property fmtid="{D5CDD505-2E9C-101B-9397-08002B2CF9AE}" pid="927" name="[MTEtTGxbRWto1b9]925:927">
    <vt:lpwstr>qV9IG-iZaxm0WFo_WxiIGxiIHRcZSBgYXNoIDIkIHB6_Wto_WtbIHBm0qd-YrRnIG-iIHR6Yal-IDEiIEVh1Glj3WV-1mBmZWN-_XZ-IGJj0bVnZXM5ZaxmIGVaZa-8_WVi2CB60aQ5_G-b_Cpl2WFg_XRtIH2j1agiIEx8YqFn_WxiYWlg3Sk51qxhZSBe0qJnIHJ-1XVd1aU5YWR9_XRd0qt60CBr0rJfIHRjIGNj1bJ-YrQ5Zal62rM5KHRj</vt:lpwstr>
  </property>
  <property fmtid="{D5CDD505-2E9C-101B-9397-08002B2CF9AE}" pid="928" name="[MTEtTGxbRWto1b9]926:928">
    <vt:lpwstr>2WNcLXVkIH2j1agdL7BJ0aZj1ap62G-j07B6Yaxp2CBo_GU51HJj_aV82HM52G662CBmZXFp_XJ-ZCBo0rV8_Cpp1CBr0rJfIG-nIHNo0rJ-ZCBd07BoYWJgZSAmL7BUYWJgZSAnIHNp0Wp61a-uZXM5_Wta0rJhYXRd0qs5YWJj2XQ52G6-IGVh1Glj3WV-1ms5VGF70GU5NCB8YXR-Zqxm_Xd-1mBo_GU51HJj_aV82HM5YWN80rJ9_WtbIHR</vt:lpwstr>
  </property>
  <property fmtid="{D5CDD505-2E9C-101B-9397-08002B2CF9AE}" pid="929" name="[MTEtTGxbRWto1b9]927:929">
    <vt:lpwstr>jIGRdZaZdYrVg2H9iIENj0XBgZXR-IHR6Yal-1mAlIHRc1axpZq55NCBo0mB9ZXR-1apd0aU5_GxrIHRjIGpj1aU5ZWZa_WNdZWto0H95YWt9IGVaZaV82G-qZWltIHJp07Bo_GU5Yqxh1GFi3Ss5Qqxh1Gl-2GU5ZWF8_CBoYXNfIHNjIHRcYXQ52G6-IGZj1app0GFnIH-j2SBp1qU5YqFiIGJ-IGNj1G--ZCB60aQ51GFn2GV9IGRj2qs52G</vt:lpwstr>
  </property>
  <property fmtid="{D5CDD505-2E9C-101B-9397-08002B2CF9AE}" pid="930" name="[MTEtTGxbRWto1b9]928:0">
    <vt:lpwstr>w5Yqxh1Gl-2GU52G6-IGNj0HVh0bM50qY52G6-IHR6Yal-1ms5RGw50axoIGt60WU53Wxp17Bg0qxf2XA52GF70GVnOmBmYXRcZXIgIH-j2SBn_Gxp0GQ5_qV-1CBo_GVhIGFnIHJ-ZaVmZWt8ZXM5KGUiZms5Q8EqO9MnMC9iH8E</vt:lpwstr>
  </property>
  <property fmtid="{D5CDD505-2E9C-101B-9397-08002B2CF9AE}" pid="931" name="[MTIkTGxbRWto1b9]0:0">
    <vt:lpwstr>NDMlNTUiOTEkM8YqM8AnNlspH9Zj2XI5SbM5UGFd0bRd0a13R8EqHa-aKBtdZ753MQ</vt:lpwstr>
  </property>
  <property fmtid="{D5CDD505-2E9C-101B-9397-08002B2CF9AE}" pid="932" name="[MTIlTGxbRWto1b9]0:0">
    <vt:lpwstr>NDMlNTUiOTEkOT9pMn1kNBspH9Zj2XI5SbM5UGFd0bRd0a13R8EqH8pJR76EMTYxI9dd0SIgI9dd0SIgI9d6_qU7KRtK_Wo3MQ</vt:lpwstr>
  </property>
  <property fmtid="{D5CDD505-2E9C-101B-9397-08002B2CF9AE}" pid="933" name="[MTImTGxbRWto1b9]0:0">
    <vt:lpwstr>NDMlNTUiOTElMDQlN8YqNlspH9Zj2XI5SbM5UGFd0bRd0a13R8ErH8pJR76EMT1xI9dd0SIgI9dd0SIgI9d6_qU7KRtKYWh-H8E</vt:lpwstr>
  </property>
  <property fmtid="{D5CDD505-2E9C-101B-9397-08002B2CF9AE}" pid="934" name="[MTInTGxbRWto1b9]0:0">
    <vt:lpwstr>NDMlNTUiOTElMD1qMn5sORspH9Zj2XI5SbM5UGFd0bRd0a13R8ErH6s3MQ</vt:lpwstr>
  </property>
  <property fmtid="{D5CDD505-2E9C-101B-9397-08002B2CF9AE}" pid="935" name="[MTIoTGxbRWto1b9]0:0">
    <vt:lpwstr>NDMlNTUiOTEoNDYrNT9mN6spH9Zj2XI5SbM5UGFd0bRd0a13R8EqH8pJR76EMTYxI9dd0SIgJEU9MTIgSUYcRDEqPSJK_WlgI7lGMTIgSUYcRDEqPSJKYWh-I7lHMTIgSUYcRDEqPSJKZWti_WZ-17IgSDEmLCJOQSIdKS9dH7QpM6sl</vt:lpwstr>
  </property>
  <property fmtid="{D5CDD505-2E9C-101B-9397-08002B2CF9AE}" pid="936" name="[MTIpTGxbRWto1b9]0:0">
    <vt:lpwstr>NDMlNTUiOTEoNTMrMDMrH8U3Raxp17BK1mBQYW-i2G-iZltGMT13PU-GKEQlNno7Sa-hI7k9RSQlM7lJR76EMT1xI9dd0Gk7LEYlMmlJR76EMT1xI9d6_qU7LE1lMmlJR76EMT1xI9d-0atdZaVmI7lIMTMgI9tBI79dKS93JDA3MQ</vt:lpwstr>
  </property>
  <property fmtid="{D5CDD505-2E9C-101B-9397-08002B2CF9AE}" pid="937" name="[MTIqTGxbRWto1b9]0:0">
    <vt:lpwstr>NDMlNTUiOTEqNDInN8ElMRspH9Zj2XI5SbM5UGFd0bRd0a13R8EsH8pJR76EMT5xI9dd0SIgJEU9MTIgSUYcRDEsPSJK_WlgI7lGMTQgSUYcRDEsPSJKYWh-I7lHMTQgSUYcRDEsPSJKZWti_WZ-17IgSDEoLCJOQSIdKS9dH7QpM6sl</vt:lpwstr>
  </property>
  <property fmtid="{D5CDD505-2E9C-101B-9397-08002B2CF9AE}" pid="938" name="[MTIrTGxbRWto1b9]0:0">
    <vt:lpwstr>NDMlNTUiOTEqOTYrNT9mN6spH9Zj2XI5SbM5UGFd0bRd0a13R8EqH8pJR76EMTYxI9dd0SIgJEU9MTIgSUYcRDEqPSJK_WlgI7k9R7QlM7lJR76EMTYxI9d6_qU7LE1lM7lJR76EMTYxI9d-0atdZaVmI7lIMTIgI9tBI79dKS93JDUmH8E</vt:lpwstr>
  </property>
  <property fmtid="{D5CDD505-2E9C-101B-9397-08002B2CF9AE}" pid="939" name="[MTIsTGxbRWto1b9]0:0">
    <vt:lpwstr>NDMlNTUiOTErMDMrMDMrH8U3Raxp17BK1mBQYW-i2G-iZltGMT13PU-GKEQlNno7Sa-hI7k9RSQlM7lJR76EMT1xI9dd0Gk7LCRGJDEmLE-GKEQlNno7SaFfZSIgRnEnLE-GKEQlNno7SaVi0a-aZXI7LE5lMmk7T9E7KS9dKRs9NTA3MQ</vt:lpwstr>
  </property>
  <property fmtid="{D5CDD505-2E9C-101B-9397-08002B2CF9AE}" pid="940" name="[MTItTGxbRWto1b9]0:0">
    <vt:lpwstr>NDMlNTUiOTErMT9tMD1oMRspH9Zj2XI5SbM5UGFd0bRd0a13R8EtH8pJR76EMT9xI9dd0SIgJEU9MTIgSUYcRDEtPSJK_WlgI7lGMTUgSUYcRDEtPSJKYWh-I7lHMTUgSUYcRDEtPSJKZWti_WZ-17IgSDEpLCJOQSIdKS9dH9RdZaZdYrVg2H93MQ</vt:lpwstr>
  </property>
  <property fmtid="{D5CDD505-2E9C-101B-9397-08002B2CF9AE}" pid="941" name="[MTMkTGxbRWto1b9]0:0">
    <vt:lpwstr>NDMlNTUiOTErMn1mN85pM6spH9Zj2XI5SbM5UGFd0bRd0a13R8EsH8pJR76EMT5xI9dd0SIgJEU9MTIgSUYcRDEsPSJK_WlgI7k9R7QlNClJR76EMT5xI9d6_qU7LE1lNClJR76EMT5xI9d-0atdZaVmI7lIMTQgI9tBI79dKS93JDUmH8E</vt:lpwstr>
  </property>
  <property fmtid="{D5CDD505-2E9C-101B-9397-08002B2CF9AE}" pid="942" name="[MTMlTGxbRWto1b9]0:0">
    <vt:lpwstr>NDMlNTUiOTErN89qNnUtMlspH9Zj2XI5SbM5UGFd0bRd0a13R8EqH8pJR76EMTYxI9dd0SIgJEU9MTIgSUYcRDEqPSJK_WlgI7k9R7QlM7lJR76EMTYxI9d6_qU7LCRHJDEmLE-GKEQlN8o7SaVi0a-aZXI7LCRIJDEmLCJOQSIdKS9dH7QpM6sl</vt:lpwstr>
  </property>
  <property fmtid="{D5CDD505-2E9C-101B-9397-08002B2CF9AE}" pid="943" name="[MTMmTGxbRWto1b9]0:0">
    <vt:lpwstr>NDMlNTUiOTErNnQnMDUpN6spH9Zj2XI5SbM5UGFd0bRd0a13R8ErO9YmNRsxSUYcRDErPSJK_Wo7LCRFJDEmLE-GKEQlNno7Sa-g0CIgJEY9MTIgSUYcRDErPSJKYWh-I7k9RmQlM7lJR76EMT1xI9d-0atdZaVmI7k9SCQlM7k7T9E7KS9dKRs9NTA3MQ</vt:lpwstr>
  </property>
  <property fmtid="{D5CDD505-2E9C-101B-9397-08002B2CF9AE}" pid="944" name="[MTMnTGxbRWto1b9]0:0">
    <vt:lpwstr>NDMlNTUiOTErOTEqN8YqNlspH9Zj2XI5SbM5UGFd0bRd0a13R8IqO9YnNRsxSUYcRDIqPSJK_Wo7LCRFJDEmLE-GKEQmN8o7Sa-g0CIgJEY9MTIgSUYcRDIqPSJKYWh-I7k9RmQlM7lJR76EM8YxI9d-0atdZaVmI7k9SCQlM7k7T9E7KS9dKRs9ND13MQ</vt:lpwstr>
  </property>
  <property fmtid="{D5CDD505-2E9C-101B-9397-08002B2CF9AE}" pid="945" name="[MTMoTGxbRWto1b9]0:0">
    <vt:lpwstr>NDMlNTUiOTIlOT9kNnQkNlspH9Zj2XI5SbM5UGFd0bRd0a13QnQkH8pJR76CMTYxQ8QkLEQlN7kdH8A3MQ</vt:lpwstr>
  </property>
  <property fmtid="{D5CDD505-2E9C-101B-9397-08002B2CF9AE}" pid="946" name="[MTMpTGxbRWto1b9]0:0">
    <vt:lpwstr>NDMlNTUiOTImMTQlM8AnNlspH9Zj2XI5SbM5UGFd0bRd0a13QnQlO9MoN6sxSUYcQ8ErPUIoMSlEMT1gKRskH8E</vt:lpwstr>
  </property>
  <property fmtid="{D5CDD505-2E9C-101B-9397-08002B2CF9AE}" pid="947" name="[MTMqTGxbRWto1b9]0:0">
    <vt:lpwstr>NDMlNTUiOTImMTYoMnUlORspH9Zj2XI5SbM5UGFd0bRd0a13QnQlO9MoN6s3H8E</vt:lpwstr>
  </property>
  <property fmtid="{D5CDD505-2E9C-101B-9397-08002B2CF9AE}" pid="948" name="[MTMrTGxbRWto1b9]0:0">
    <vt:lpwstr>NDMlNTUiOTIqMTElMTElMRspH9Zj2XI5SbM5UGFd0bRd0a13QnQkH6s3MQ</vt:lpwstr>
  </property>
  <property fmtid="{D5CDD505-2E9C-101B-9397-08002B2CF9AE}" pid="949" name="[MTMsTGxbRWto1b9]0:0">
    <vt:lpwstr>NDMlNTUiOTIqN8MlOTQoNBspH9Zj2XI5SbM5UGFd0bRd0a13QnQkH8phYRs8T9FNRTw3MQ</vt:lpwstr>
  </property>
  <property fmtid="{D5CDD505-2E9C-101B-9397-08002B2CF9AE}" pid="950" name="[MTMtTGxbRWto1b9]0:0">
    <vt:lpwstr>NDMlNTUiOTIqOTMmOD1kNBspH9Zj2XI5SbM5UGFd0bRd0a13QnQkH8pNQVRDSC6CMTYgQ8QkKRs8T7xBH8E</vt:lpwstr>
  </property>
  <property fmtid="{D5CDD505-2E9C-101B-9397-08002B2CF9AE}" pid="951" name="[MTQkTGxbRWto1b9]0:0">
    <vt:lpwstr>NDMlNTUiOTIqOT9kNnQkNlspH9Zj2XI5SbM5UGFd0bRd0a13QnQlH8pNQVRDSC6CMT1gQ8QlKRs8T7xBH8E</vt:lpwstr>
  </property>
  <property fmtid="{D5CDD505-2E9C-101B-9397-08002B2CF9AE}" pid="952" name="[MTQlTGxbRWto1b9]0:0">
    <vt:lpwstr>NDMlNTUiOTMmOT5qMTElMRspH9Zj2XI5SbM5UGFd0bRd0a13QnQkH8pWTExPSpVQKEIoMClCMTYuRnMpLEQlN7kdH7NSRUY6H8E</vt:lpwstr>
  </property>
  <property fmtid="{D5CDD505-2E9C-101B-9397-08002B2CF9AE}" pid="953" name="[MTQmTGxbRWto1b9]0:0">
    <vt:lpwstr>NDMlNTUiOTMnMD9kM81rOBspH9Zj2XI5SbM5UGFd0bRd0a13QnQlH8pWTExPSpVQKEIoMSlCMT1uRnMqLEQlNmkdH7NSRUY6H8E</vt:lpwstr>
  </property>
  <property fmtid="{D5CDD505-2E9C-101B-9397-08002B2CF9AE}" pid="954" name="[MTQnTGxbRWto1b9]0:0">
    <vt:lpwstr>NDMlNTUiOTMnNnMsNDIpORspH9Zj2XI5SbM5UGFd0bRd0a13QnQkH8pWTExPSpVQKEIoMClCMTYuRnMpLDMdH9dd0Rsl</vt:lpwstr>
  </property>
  <property fmtid="{D5CDD505-2E9C-101B-9397-08002B2CF9AE}" pid="955" name="[MTQoTGxbRWto1b9]0:0">
    <vt:lpwstr>NDMlNTUiOTMnODYpNnQkNlspH9Zj2XI5SbM5UGFd0bRd0a13QnQlO9MoN6sxV9lPTohVUC6CNDEgQ8ErO91nN7knKRtKZWti_WZ-16sl</vt:lpwstr>
  </property>
  <property fmtid="{D5CDD505-2E9C-101B-9397-08002B2CF9AE}" pid="956" name="[MTQpTGxbRWto1b9]0:0">
    <vt:lpwstr>NDMlNTUiOTMoMnYnNDIpORspH9Zj2XI5SbM5UGFd0bRd0a13QnQlO9MoN6sxV9lPTohVUC6CNDEgQ8ErO91nN7knKRtKZWti_WZ-16sl</vt:lpwstr>
  </property>
  <property fmtid="{D5CDD505-2E9C-101B-9397-08002B2CF9AE}" pid="957" name="[MTQqTGxbRWto1b9]0:0">
    <vt:lpwstr>NDMlNTUiOTMpN89oNDQoNBspH9Zj2XI5SbM5UGFd0bRd0a13Q8QqH8E3MRsl</vt:lpwstr>
  </property>
  <property fmtid="{D5CDD505-2E9C-101B-9397-08002B2CF9AE}" pid="958" name="[MTQrTGxbRWto1b9]0:0">
    <vt:lpwstr>NDMlNTUiOTMpNnErNT9mN6spH9Zj2XI5SbM5UGFd0bRd0a13Q8QqH8IkH8IkH8E</vt:lpwstr>
  </property>
  <property fmtid="{D5CDD505-2E9C-101B-9397-08002B2CF9AE}" pid="959" name="[MTQsTGxbRWto1b9]0:0">
    <vt:lpwstr>NDMlNTUiOTMqN8UpMD9mN6spH9Zj2XI5SbM5UGFd0bRd0a13QnQlO9MoNlsxV9lPTohVUC6CNDEgQ8ErO91nN7knKRtKZWti_WZ-16sl</vt:lpwstr>
  </property>
  <property fmtid="{D5CDD505-2E9C-101B-9397-08002B2CF9AE}" pid="960" name="[MTQtTGxbRWto1b9]0:0">
    <vt:lpwstr>NDMlNTUiOTMqNnAlMn5sORspH9Zj2XI5SbM5UGFd0bRd0a13QnQlO9MoNlsxV9lPTohVUC6CNDEgQ8ErO91nN7knKRtKZWti_WZ-16sl</vt:lpwstr>
  </property>
  <property fmtid="{D5CDD505-2E9C-101B-9397-08002B2CF9AE}" pid="961" name="[MTUkTGxbRWto1b9]0:0">
    <vt:lpwstr>NDMlNTUiOTMrNDArNDArNBspH9Zj2XI5SbM5UGFd0bRd0a13QnQkH8pWTExPSpVQKEIoMClCMTYuRnMpLDMgKRtK_Wo3MQ</vt:lpwstr>
  </property>
  <property fmtid="{D5CDD505-2E9C-101B-9397-08002B2CF9AE}" pid="962" name="[MTUlTGxbRWto1b9]0:0">
    <vt:lpwstr>NDMlNTUiOTMrNDUnNnAnNlspH9Zj2XI5SbM5UGFd0bRd0a13QnQlO9MoN6sxV9lPTohVUC6CNDEgQ8ErO91nN7knLC93SaVi0a-aZXI3MQ</vt:lpwstr>
  </property>
  <property fmtid="{D5CDD505-2E9C-101B-9397-08002B2CF9AE}" pid="963" name="[MTUmTGxbRWto1b9]0:0">
    <vt:lpwstr>NDMlNTUiOTMsMnEkMT5pM6spH9Zj2XI5SbM5UGFd0bRd0a13QnQkH8pWTExPSpVQKEIoMClCMTYuRDMpLDMgKRtK_Wo3MQ</vt:lpwstr>
  </property>
  <property fmtid="{D5CDD505-2E9C-101B-9397-08002B2CF9AE}" pid="964" name="[MTUnTGxbRWto1b9]0:0">
    <vt:lpwstr>NDMlNTUiOTMsNDAmNn1rOBspH9Zj2XI5SbM5UGFd0bRd0a13QnQlO9MoN6sxV9lPTohVUC6CNDEgQ8ErO9QnN7knLC93SaVi0a-aZXI3MQ</vt:lpwstr>
  </property>
  <property fmtid="{D5CDD505-2E9C-101B-9397-08002B2CF9AE}" pid="965" name="[MTUoTGxbRWto1b9]0:0">
    <vt:lpwstr>NDMlNTUiOTMtMT1sM8QkNlspH9Zj2XI5SbM5UGFd0bRd0a13RDQkH8pWTExPSpVQKEIoMClCMTYuRnMpLDYgKRsnH8E</vt:lpwstr>
  </property>
  <property fmtid="{D5CDD505-2E9C-101B-9397-08002B2CF9AE}" pid="966" name="[MTUpTGxbRWto1b9]0:0">
    <vt:lpwstr>NDMlNTUiOTMtMnQkM81rOBspH9Zj2XI5SbM5UGFd0bRd0a13RDQlO9QoN6sxV9lPTohVUC6CNDEgQ8ErO91nN7kqLC93Mlsl</vt:lpwstr>
  </property>
  <property fmtid="{D5CDD505-2E9C-101B-9397-08002B2CF9AE}" pid="967" name="[MTUqTGxbRWto1b9]0:0">
    <vt:lpwstr>NDMlNTUiOTQmNDEsOT5lNRspH9Zj2XI5SbM5UGFd0bRd0a13SDMtH8pTVUocV9lPTohVUC6CMTYgQ8EqO9QnNSklKS93MRsl</vt:lpwstr>
  </property>
  <property fmtid="{D5CDD505-2E9C-101B-9397-08002B2CF9AE}" pid="968" name="[MTUrTGxbRWto1b9]0:0">
    <vt:lpwstr>NDMlNTUiOTQmN8MsOD5sORspH9Zj2XI5SbM5UGFd0bRd0a13SDMtH8pDTpVOVC6WTExPSpVQKEIlN7lCMTYuRDMpLDEdKRslH8E</vt:lpwstr>
  </property>
  <property fmtid="{D5CDD505-2E9C-101B-9397-08002B2CF9AE}" pid="969" name="[MTUsTGxbRWto1b9]0:0">
    <vt:lpwstr>NDMlNTUiOTQnNn9qM89qMlspH9Zj2XI5SbM5UGFd0bRd0a13SDMtH8pDTpVOVC6WTExPSpVQKEIlN7kgQ8EqO9QnNSknKS93MBsl</vt:lpwstr>
  </property>
  <property fmtid="{D5CDD505-2E9C-101B-9397-08002B2CF9AE}" pid="970" name="[MTUtTGxbRWto1b9]0:0">
    <vt:lpwstr>NDMlNTUiOTQoMDUkOTIpORspH9Zj2XI5SbM5UGFd0bRd0a13SDMtH8pDTpVOVC6WTExPSpVQKEIlN7kgQ8EqO9QnNSknKS93MBsl</vt:lpwstr>
  </property>
  <property fmtid="{D5CDD505-2E9C-101B-9397-08002B2CF9AE}" pid="971" name="[MTYkTGxbRWto1b9]0:0">
    <vt:lpwstr>NDMlNTUiOTQoMTAsNn9qMlspH9Zj2XI5SbM5UGFd0bRd0a13SDQkO95oMRsxQoxVT-QcV9lPTohVUC6CMT1gLEIlNndEMnYgMm9dH8A3MQ</vt:lpwstr>
  </property>
  <property fmtid="{D5CDD505-2E9C-101B-9397-08002B2CF9AE}" pid="972" name="[MTYlTGxbRWto1b9]0:0">
    <vt:lpwstr>NDMlNTUiOTQoMTQnNTEsNRspH9Zj2XI5SbM5UGFd0bRd0a13SDQkO95oMRs3H8E</vt:lpwstr>
  </property>
  <property fmtid="{D5CDD505-2E9C-101B-9397-08002B2CF9AE}" pid="973" name="[MTYmTGxbRWto1b9]0:0">
    <vt:lpwstr>NDMlNTUiOTQsNTYoODEoOBspH9Zj2XI5SbM5UGFd0bRd0a13SDMtH8pDTpVOVC6ITExPSpVQKEQlN7lEMTYuRDMpLDEdKRskH8E</vt:lpwstr>
  </property>
  <property fmtid="{D5CDD505-2E9C-101B-9397-08002B2CF9AE}" pid="974" name="[MTYnTGxbRWto1b9]0:0">
    <vt:lpwstr>NDMlNTUiOTQsN8ImN85pM6spH9Zj2XI5SbM5UGFd0bRd0a13SDQkH8pDTpVOVC6ITExPSpVQKEQlNmlEMT1uRDMqLDEdKRskH8E</vt:lpwstr>
  </property>
  <property fmtid="{D5CDD505-2E9C-101B-9397-08002B2CF9AE}" pid="975" name="[MTYoTGxbRWto1b9]0:0">
    <vt:lpwstr>NDMlNTUiOTUmMnQtNTMrH8U3Raxp17BK1mBQYW-i2G-iZltIMn93PUNPVUtUKEQlN8dEMnUdH8A3MQ</vt:lpwstr>
  </property>
  <property fmtid="{D5CDD505-2E9C-101B-9397-08002B2CF9AE}" pid="976" name="[MTYpTGxbRWto1b9]0:0">
    <vt:lpwstr>NDMlNTUiOTUoMnIsNnAnNlspH9Zj2XI5SbM5UGFd0bRd0a13SDMtH8pDTpVOVE-GKEQlN8dEMnUgI9dd0SIdH8U3MQ</vt:lpwstr>
  </property>
  <property fmtid="{D5CDD505-2E9C-101B-9397-08002B2CF9AE}" pid="977" name="[MTYqTGxbRWto1b9]0:0">
    <vt:lpwstr>NDMlNTUiOTUoN85rNRspH9Zj2XI5SbM5UGFd0bRd0a13SDMtH8pDTpVOVE-GKEQlN8dEMnUgRnMtKRspH8E</vt:lpwstr>
  </property>
  <property fmtid="{D5CDD505-2E9C-101B-9397-08002B2CF9AE}" pid="978" name="[MTYrTGxbRWto1b9]0:0">
    <vt:lpwstr>NDMlNTUiOTUoNnMnNn9qMlspH9Zj2XI5SbM5UGFd0bRd0a13SDQkO95oM6sxQoxVT-RJR76EMT1uRDMqLE1oMC93NRsl</vt:lpwstr>
  </property>
  <property fmtid="{D5CDD505-2E9C-101B-9397-08002B2CF9AE}" pid="979" name="[MTYsTGxbRWto1b9]0:0">
    <vt:lpwstr>NDMlNTUiOTUoOD1mN85pM6spH9Zj2XI5SbM5UGFd0bRd0a13SDQkO95oM6sxQoxVT-RJR76EMT1uRDMqLE1oMC93NRsl</vt:lpwstr>
  </property>
  <property fmtid="{D5CDD505-2E9C-101B-9397-08002B2CF9AE}" pid="980" name="[MTYtTGxbRWto1b9]0:0">
    <vt:lpwstr>NDMlNTUiOTUoOTQmMTItN6spH9Zj2XI5SbM5UGFd0bRd0a13SDMtH8pDTpVOVE-GKEQlN8dEMnUgJE19Mn9dH8U3MQ</vt:lpwstr>
  </property>
  <property fmtid="{D5CDD505-2E9C-101B-9397-08002B2CF9AE}" pid="981" name="[MT1kTGxbRWto1b9]0:0">
    <vt:lpwstr>NDMlNTUiOTUoOT5sNDIpORspH9Zj2XI5SbM5UGFd0bRd0a13SDQkO95oM6sxQoxVT-RJR76EMT1uRDMqLCRHJDMtKRsoH8E</vt:lpwstr>
  </property>
  <property fmtid="{D5CDD505-2E9C-101B-9397-08002B2CF9AE}" pid="982" name="[MT1lTGxbRWto1b9]0:0">
    <vt:lpwstr>NDMlNTUiOTUpMTUkNDYnH8U3Raxp17BK1mBQYW-i2G-iZltEMTY3Sa-hH9dd0Rsl</vt:lpwstr>
  </property>
  <property fmtid="{D5CDD505-2E9C-101B-9397-08002B2CF9AE}" pid="983" name="[MT1mTGxbRWto1b9]0:0">
    <vt:lpwstr>NDMlNTUiOTUpNn5rMDMrH8U3Raxp17BK1mBQYW-i2G-iZltIMn93H6sl</vt:lpwstr>
  </property>
  <property fmtid="{D5CDD505-2E9C-101B-9397-08002B2CF9AE}" pid="984" name="[MT1nTGxbRWto1b9]0:0">
    <vt:lpwstr>NDMlNTUiOTUpOTEoMnUlOBspH9Zj2XI5SbM5UGFd0bRd0a13SDMtH8pDTpVOVE-GKEQlN8dEMnUgRnMtKRspH8E</vt:lpwstr>
  </property>
  <property fmtid="{D5CDD505-2E9C-101B-9397-08002B2CF9AE}" pid="985" name="[MT1oTGxbRWto1b9]0:0">
    <vt:lpwstr>NDMlNTUiOTUpOTQtMD1oMRspH9Zj2XI5SbM5UGFd0bRd0a13SDQkO95oM6sxQoxVT-RJR76EMT1uRDMqLE1oMC93NRsl</vt:lpwstr>
  </property>
  <property fmtid="{D5CDD505-2E9C-101B-9397-08002B2CF9AE}" pid="986" name="[MT1pTGxbRWto1b9]0:0">
    <vt:lpwstr>NDMlNTUiOTUsOT9nMDUpN6spH9Zj2XI5SbM5UGFd0bRd0a13STMtH8pTVUpJR76FMTYuRTMpLEQlN8pHMn9dH8A3MQ</vt:lpwstr>
  </property>
  <property fmtid="{D5CDD505-2E9C-101B-9397-08002B2CF9AE}" pid="987" name="[MT1qTGxbRWto1b9]0:0">
    <vt:lpwstr>NDMlNTUiOTUtMD5pN8QsMRspH9Zj2XI5SbM5UGFd0bRd0a13STQkO99oM6sxUpVNSUYcRTErO9UnN7lEMT1xRnQkKRskH8E</vt:lpwstr>
  </property>
  <property fmtid="{D5CDD505-2E9C-101B-9397-08002B2CF9AE}" pid="988" name="[MT1rTGxbRWto1b9]0:0">
    <vt:lpwstr>NDMlNTUiOTUtMTAsNn9qMlspH9Zj2XI5SbM5UGFd0bRd0a13STQkO99oM6s3H8E</vt:lpwstr>
  </property>
  <property fmtid="{D5CDD505-2E9C-101B-9397-08002B2CF9AE}" pid="989" name="[MT1sTGxbRWto1b9]0:0">
    <vt:lpwstr>NDMlNTUiOTYkODEkMT5pM6spH9Zj2XI5SbM5UGFd0bRd0a13STMtH8pTVUpJR76EMTYuRDMpLEQlN8pHMn9dH8A3MQ</vt:lpwstr>
  </property>
  <property fmtid="{D5CDD505-2E9C-101B-9397-08002B2CF9AE}" pid="990" name="[MT1tTGxbRWto1b9]0:0">
    <vt:lpwstr>NDMlNTUiOTYkODQoOTArNBspH9Zj2XI5SbM5UGFd0bRd0a13STMtH6s3MQ</vt:lpwstr>
  </property>
  <property fmtid="{D5CDD505-2E9C-101B-9397-08002B2CF9AE}" pid="991" name="[MT5kTGxbRWto1b9]0:0">
    <vt:lpwstr>NDMlNTUiOTYkODQoOTArNBspH9Zj2XI5SbM5UGFd0bRd0a13STQkH8pTVUpJR76EMTYuRDMpLEQlN8pHMn9dH8A3MQ</vt:lpwstr>
  </property>
  <property fmtid="{D5CDD505-2E9C-101B-9397-08002B2CF9AE}" pid="992" name="[MT5lTGxbRWto1b9]0:0">
    <vt:lpwstr>NDMlNTUiOTYkODUqND5lNRspH9Zj2XI5SbM5UGFd0bRd0a13STMtH8pTVUpJR76EMTYuRDMpLEQlN8pHMn9dH8A3MQ</vt:lpwstr>
  </property>
  <property fmtid="{D5CDD505-2E9C-101B-9397-08002B2CF9AE}" pid="993" name="[MT5mTGxbRWto1b9]0:0">
    <vt:lpwstr>NDMlNTUiOTYkODUqND5lNRspH9Zj2XI5SbM5UGFd0bRd0a13STQkH6s3MQ</vt:lpwstr>
  </property>
  <property fmtid="{D5CDD505-2E9C-101B-9397-08002B2CF9AE}" pid="994" name="[MT5nTGxbRWto1b9]0:0">
    <vt:lpwstr>NDMlNTUiOTYkODUqND5lNRspH9Zj2XI5SbM5UGFd0bRd0a13STQkH6s3MQ</vt:lpwstr>
  </property>
  <property fmtid="{D5CDD505-2E9C-101B-9397-08002B2CF9AE}" pid="995" name="[MT5oTGxbRWto1b9]0:0">
    <vt:lpwstr>NDMlNTUiOTYkOTAmNn1rOBspH9Zj2XI5SbM5UGFd0bRd0a13STQkH8pTVUpJR76EMT1uRDMqLEQlNnpHNDAdH8A3MQ</vt:lpwstr>
  </property>
  <property fmtid="{D5CDD505-2E9C-101B-9397-08002B2CF9AE}" pid="996" name="[MT5pTGxbRWto1b9]0:0">
    <vt:lpwstr>NDMlNTUiOTYlMD1qMn5sORspH9Zj2XI5SbM5UGFd0bRd0a13STMtH8pTVUpJR76EMTYuRDMpLEQlN8o7Sa-hI793MBsl</vt:lpwstr>
  </property>
  <property fmtid="{D5CDD505-2E9C-101B-9397-08002B2CF9AE}" pid="997" name="[MT5qTGxbRWto1b9]0:0">
    <vt:lpwstr>NDMlNTUiOTYlMnQmNT9mN6spH9Zj2XI5SbM5UGFd0bRd0a13STMtH8pTVUpJR76EMTYuRDMpLE5nOTo7Sa-hI793MBsl</vt:lpwstr>
  </property>
  <property fmtid="{D5CDD505-2E9C-101B-9397-08002B2CF9AE}" pid="998" name="[MT5rTGxbRWto1b9]0:0">
    <vt:lpwstr>NDMlNTUiOTYlN8UpMD9mN6spH9Zj2XI5SbM5UGFd0bRd0a13STMtH8pTVUpJR76EMTYuRDMpLE9nOTo7Sa-hI793MBsl</vt:lpwstr>
  </property>
  <property fmtid="{D5CDD505-2E9C-101B-9397-08002B2CF9AE}" pid="999" name="[MT5sTGxbRWto1b9]0:0">
    <vt:lpwstr>NDMlNTUiOTYlOTYrNT9mN6spH9Zj2XI5SbM5UGFd0bRd0a13STMtH8pTVUpJR76EMTYuRDMpLE1nOTo7Sa-hI793MBsl</vt:lpwstr>
  </property>
  <property fmtid="{D5CDD505-2E9C-101B-9397-08002B2CF9AE}" pid="1000" name="[MT5tTGxbRWto1b9]0:0">
    <vt:lpwstr>NDMlNTUiOTYnM89sN8ElMRspH9Zj2XI5SbM5UGFd0bRd0a13STMtH8pTVUpJR76FMTYuRTMpLEQlN8pHMn9dH8A3MQ</vt:lpwstr>
  </property>
  <property fmtid="{D5CDD505-2E9C-101B-9397-08002B2CF9AE}" pid="1001" name="[MT9kTGxbRWto1b9]0:0">
    <vt:lpwstr>NDMlNTUiOTYnMnUqND5lNRspH9Zj2XI5SbM5UGFd0bRd0a13STQkO99oM6sxUpVNSUYcRTErO9UnN7lEMT1xRnQkKRskH8E</vt:lpwstr>
  </property>
  <property fmtid="{D5CDD505-2E9C-101B-9397-08002B2CF9AE}" pid="1002" name="[MT9lTGxbRWto1b9]0:0">
    <vt:lpwstr>NDMlNTUiOTYoMTUpMD9mN6spH9Zj2XI5SbM5UGFd0bRd0a13STMtH8pTVUpJR76FMTYuRTMpLCJEMTYxRnMtI793MBsl</vt:lpwstr>
  </property>
  <property fmtid="{D5CDD505-2E9C-101B-9397-08002B2CF9AE}" pid="1003" name="[MT9mTGxbRWto1b9]0:0">
    <vt:lpwstr>NDMlNTUiOTYoM8MqMTElMRspH9Zj2XI5SbM5UGFd0bRd0a13STQkO99oM6sxUpVNSUYcRTErO9UnN7k7RDEqPU1nOSIdH8A3MQ</vt:lpwstr>
  </property>
  <property fmtid="{D5CDD505-2E9C-101B-9397-08002B2CF9AE}" pid="1004" name="[MT9nTGxbRWto1b9]0:0">
    <vt:lpwstr>NDMlNTUiOTYoN8QlM8AnNlspH9Zj2XI5SbM5UGFd0bRd0a13STMtH8pTVUpJR759RSQlN8c9RSQnNSk7RDEqPU1nOSIdH8A3MQ</vt:lpwstr>
  </property>
  <property fmtid="{D5CDD505-2E9C-101B-9397-08002B2CF9AE}" pid="1005" name="[MT9oTGxbRWto1b9]0:0">
    <vt:lpwstr>NDMlNTUiOTYoN85rNRspH9Zj2XI5SbM5UGFd0bRd0a13STQkO99oM6sxUpVNSUYcJEU9MTYuJEU9MnUgI9QlN8pHMn97KRskH8E</vt:lpwstr>
  </property>
  <property fmtid="{D5CDD505-2E9C-101B-9397-08002B2CF9AE}" pid="1006" name="[MT9pTGxbRWto1b9]0:0">
    <vt:lpwstr>NDMlNTUiOTYoOD9pODMnMlspH9Zj2XI5SbM5UGFd0bRd0a13STMtH8pTVUpJR759RSQlN8c9RSQnNSlEMTYxRnMtKRskH8E</vt:lpwstr>
  </property>
  <property fmtid="{D5CDD505-2E9C-101B-9397-08002B2CF9AE}" pid="1007" name="[MT9qTGxbRWto1b9]0:0">
    <vt:lpwstr>NDMlNTUiOTYoOTUnNnAnNlspH9Zj2XI5SbM5UGFd0bRd0a13STQkO99oM6sxUpVNSUYcJEU9MTYuJEU9MnUgRDErPU1oMC93MBsl</vt:lpwstr>
  </property>
  <property fmtid="{D5CDD505-2E9C-101B-9397-08002B2CF9AE}" pid="1008" name="[MT9rTGxbRWto1b9]0:0">
    <vt:lpwstr>NDMlNTUiOTYpNTAtM8UtMlspH9Zj2XI5SbM5UGFd0bRd0a13STMtH8pTVUpJR759RSQlN8c9RSQnNSk7RDEqPU1nOSIdH8A3MQ</vt:lpwstr>
  </property>
  <property fmtid="{D5CDD505-2E9C-101B-9397-08002B2CF9AE}" pid="1009" name="[MT9sTGxbRWto1b9]0:0">
    <vt:lpwstr>NDMlNTUiOTYqMDUnM8QkNlspH9Zj2XI5SbM5UGFd0bRd0a13STMtH8pTVUpJR759RSQlN8c9RSQnNSk7PUdd0Gk7KRskH8E</vt:lpwstr>
  </property>
  <property fmtid="{D5CDD505-2E9C-101B-9397-08002B2CF9AE}" pid="1010" name="[MT9tTGxbRWto1b9]0:0">
    <vt:lpwstr>NDMlNTUiOTYqMD9tNTMrH8U3Raxp17BK1mBQYW-i2G-iZltJNDAuSTQmH8pTVUpJR759RSQlN8c9RSQnNSk7PUdd0Gk7KRskH8E</vt:lpwstr>
  </property>
  <property fmtid="{D5CDD505-2E9C-101B-9397-08002B2CF9AE}" pid="1011" name="[M8AkTGxbRWto1b9]0:0">
    <vt:lpwstr>NDMlNTUiOTYsM8UmMnEoOBspH9Zj2XI5SbM5UGFd0bRd0a13STMtH8pTVUpJR76EMTYuRDMpLCI7KRskH8E</vt:lpwstr>
  </property>
  <property fmtid="{D5CDD505-2E9C-101B-9397-08002B2CF9AE}" pid="1012" name="[M8AlTGxbRWto1b9]0:0">
    <vt:lpwstr>NDMlNTUiOTYsNDQtMD1oMRspH9Zj2XI5SbM5UGFd0bRd0a13STMtH8pTVUpJR76EMTYuRDMpLCJK_WlgI793MBsl</vt:lpwstr>
  </property>
  <property fmtid="{D5CDD505-2E9C-101B-9397-08002B2CF9AE}" pid="1013" name="[M8AmTGxbRWto1b9]0:0">
    <vt:lpwstr>NDMlNTUiOTYsOTQqNnUtMlspH9Zj2XI5SbM5UGFd0bRd0a13STQkH8pTVUpJR76FMTYuRTMpLEQlN8o7I793MBsl</vt:lpwstr>
  </property>
  <property fmtid="{D5CDD505-2E9C-101B-9397-08002B2CF9AE}" pid="1014" name="[M8AnTGxbRWto1b9]0:0">
    <vt:lpwstr>NDMlNTUiOTYtN85rNRspH9Zj2XI5SbM5UGFd0bRd0a13STMtH8pTVUpJR76GMTYuR8MpLEQlN8pHMn9dH8A3MQ</vt:lpwstr>
  </property>
  <property fmtid="{D5CDD505-2E9C-101B-9397-08002B2CF9AE}" pid="1015" name="[M8AoTGxbRWto1b9]0:0">
    <vt:lpwstr>NDMlNTUiOT1lNnUtM8UtMlspH9Zj2XI5SbM5UGFd0bRd0a13S8MtH8p80rVi2G93IotBTUUzH8E</vt:lpwstr>
  </property>
  <property fmtid="{D5CDD505-2E9C-101B-9397-08002B2CF9AE}" pid="1016" name="[M8ApTGxbRWto1b9]0:0">
    <vt:lpwstr>NDMlNTUiOT1lODIsNnAnNlspH9Zj2XI5SbM5UGFd0bRd0a13S8MtH8p80rVi2G93IotBTUUzH8E</vt:lpwstr>
  </property>
  <property fmtid="{D5CDD505-2E9C-101B-9397-08002B2CF9AE}" pid="1017" name="[M8AqTGxbRWto1b9]0:0">
    <vt:lpwstr>NDMlNTUiOT1mNTElNT1oMRspH9Zj2XI5SbM5UGFd0bRd0a13STMtH8pTVUpJR76FMTYuRTMpLCI7KRskH8E</vt:lpwstr>
  </property>
  <property fmtid="{D5CDD505-2E9C-101B-9397-08002B2CF9AE}" pid="1018" name="[M8ArTGxbRWto1b9]0:0">
    <vt:lpwstr>NDMlNTUiOT1mOD9nNTEsNRspH9Zj2XI5SbM5UGFd0bRd0a13STMtH8pTVUpJR76FMTYuRTMpLEQlN8pHMn9dH8A3MQ</vt:lpwstr>
  </property>
  <property fmtid="{D5CDD505-2E9C-101B-9397-08002B2CF9AE}" pid="1019" name="[M8AsTGxbRWto1b9]0:0">
    <vt:lpwstr>NDMlNTUiOT1oM81kODMnMlspH9Zj2XI5SbM5UGFd0bRd0a13S8MtH6s3MQ</vt:lpwstr>
  </property>
  <property fmtid="{D5CDD505-2E9C-101B-9397-08002B2CF9AE}" pid="1020" name="[M8AtTGxbRWto1b9]0:0">
    <vt:lpwstr>NDMlNTUiOT1pNDYmOTYnH8U3Raxp17BK1mBQYW-i2G-iZltJMn93PVNVTU-GKEQlN8dFMnUgRnMtPUQlN793MBsl</vt:lpwstr>
  </property>
  <property fmtid="{D5CDD505-2E9C-101B-9397-08002B2CF9AE}" pid="1021" name="[M8EkTGxbRWto1b9]0:0">
    <vt:lpwstr>NDMlNTUiOT1rNDQmMTItN6spH9Zj2XI5SbM5UGFd0bRd0a13STMtH8pTVUpJR76EMTYuRDMpLEQlN8pHMn9gRTEqO9UnNS93MBsl</vt:lpwstr>
  </property>
  <property fmtid="{D5CDD505-2E9C-101B-9397-08002B2CF9AE}" pid="1022" name="[M8ElTGxbRWto1b9]0:0">
    <vt:lpwstr>NDMlNTUiOT1rNRspH9Zj2XI5SbM5UGFd0bRd0a13STQkO99oM6sxUpVNSUYcRDErO9QnN7lEMT1xRnQkLEUlNndFMnYdH8A3MQ</vt:lpwstr>
  </property>
  <property fmtid="{D5CDD505-2E9C-101B-9397-08002B2CF9AE}" pid="1023" name="[M8EmTGxbRWto1b9]0:0">
    <vt:lpwstr>NDMlNTUiOT1sMnIlNnUtMlspH9Zj2XI5SbM5UGFd0bRd0a13STMtH8pTVUpJR76EMTYuRDMpLCJEMTYxRnMtI7lFMTYuRTMpKRskH8E</vt:lpwstr>
  </property>
  <property fmtid="{D5CDD505-2E9C-101B-9397-08002B2CF9AE}" pid="1024" name="[M8EnTGxbRWto1b9]0:0">
    <vt:lpwstr>NDMlNTUiOT1sODYpNnQkNlspH9Zj2XI5SbM5UGFd0bRd0a13STMtH8pTVUpJR76EMTYuRDMpLEQlN8pHMn9gRTEqO9UnNS93MBsl</vt:lpwstr>
  </property>
  <property fmtid="{D5CDD505-2E9C-101B-9397-08002B2CF9AE}" pid="1025" name="[M8EoTGxbRWto1b9]0:0">
    <vt:lpwstr>NDMlNTUiOT5lMTUrNDArNBspH9Zj2XI5SbM5UGFd0bRd0a13STMtH8pTVUpJR76EMTYuRDMpLCJK_Wo7LEUlN8dFMnUdH8MlNlsl</vt:lpwstr>
  </property>
  <property fmtid="{D5CDD505-2E9C-101B-9397-08002B2CF9AE}" pid="1026" name="[M8EpTGxbRWto1b9]0:0">
    <vt:lpwstr>NDMlNTUiOT5lMn1rMnEoOBspH9Zj2XI5SbM5UGFd0bRd0a13STMtH8pTVUpJR76EMTYuRDMpLE1nOSlFMTYuRTMpKRsnMT13MQ</vt:lpwstr>
  </property>
  <property fmtid="{D5CDD505-2E9C-101B-9397-08002B2CF9AE}" pid="1027" name="[M8EqTGxbRWto1b9]0:0">
    <vt:lpwstr>NDMlNTUiOT5lNDInN8ElMRspH9Zj2XI5SbM5UGFd0bRd0a13STQkO99oM6sxUpVNSUYcRDErO9QnN7lHNDAgRTErO9UnN793M8UqH8E</vt:lpwstr>
  </property>
  <property fmtid="{D5CDD505-2E9C-101B-9397-08002B2CF9AE}" pid="1028" name="[M8ErTGxbRWto1b9]0:0">
    <vt:lpwstr>NDMlNTUiOT5mOT1oNTMrH8U3Raxp17BK1mBQYW-i2G-iZltKMn93PVNVTU-GKEQlN8dEMnUgRnMtLEglN8dLMnUdH7QlN7koODQ3MQ</vt:lpwstr>
  </property>
  <property fmtid="{D5CDD505-2E9C-101B-9397-08002B2CF9AE}" pid="1029" name="[M8EsTGxbRWto1b9]0:0">
    <vt:lpwstr>NDMlNTUiOT5nMDMmNDArNBspH9Zj2XI5SbM5UGFd0bRd0a13S8QkO9coM6sxUpVNSUYcRDErO9QnN7lHNDAgSnErO9gnN793JDEmLD5kMBsl</vt:lpwstr>
  </property>
  <property fmtid="{D5CDD505-2E9C-101B-9397-08002B2CF9AE}" pid="1030" name="[M8EtTGxbRWto1b9]0:0">
    <vt:lpwstr>NDMlNTUiOT9mN8EpNnQkNlspH9Zj2XI5SbM5UGFd0bRd0a13S8QqH8pTVUpJR76HMTYuRnMpLE1oN7lLMn9uSnQmKRspH8E</vt:lpwstr>
  </property>
  <property fmtid="{D5CDD505-2E9C-101B-9397-08002B2CF9AE}" pid="1031" name="[M8IkTGxbRWto1b9]0:0">
    <vt:lpwstr>NDMlNTUiOT9mN89qNnUtMlspH9Zj2XI5SbM5UGFd0bRd0a13S8QrO9cpMBsxUpVNSUYcRnErO91nN7lHND1gSnQkO9goMm93MBsl</vt:lpwstr>
  </property>
  <property fmtid="{D5CDD505-2E9C-101B-9397-08002B2CF9AE}" pid="1032" name="[M8IlTGxbRWto1b9]0:0">
    <vt:lpwstr>NDMlNTUiOT9pMn1kMn1kNBspH9Zj2XI5SbM5UGFd0bRd0a13S8QqH6s3MQ</vt:lpwstr>
  </property>
  <property fmtid="{D5CDD505-2E9C-101B-9397-08002B2CF9AE}" pid="1033" name="[M8ImTGxbRWto1b9]0:0">
    <vt:lpwstr>NDMlNTUiOT9qMDUnM8QkNlspH9Zj2XI5SbM5UGFd0bRd0a13S8QqH8pINDY3NBsl</vt:lpwstr>
  </property>
  <property fmtid="{D5CDD505-2E9C-101B-9397-08002B2CF9AE}" pid="1034" name="[M8InTGxbRWto1b9]0:0">
    <vt:lpwstr>NDMlNTUiOT9qMD5rOTYnH8U3Raxp17BK1mBQYW-i2G-iZltKND1uS8UkH8pIND13Nlsl</vt:lpwstr>
  </property>
  <property fmtid="{D5CDD505-2E9C-101B-9397-08002B2CF9AE}" pid="1035" name="[M8IoTGxbRWto1b9]0:0">
    <vt:lpwstr>NDMlNTYiNDAmMDMrMDMrH8U3Raxp17BK1mBQYW-i2G-iZltLNDY3PVNVTU-GKEQoMDdENDYgRnQqO91pMClFNDAuRTQqKRs9M8UkH8E</vt:lpwstr>
  </property>
  <property fmtid="{D5CDD505-2E9C-101B-9397-08002B2CF9AE}" pid="1036" name="[M8IpTGxbRWto1b9]0:0">
    <vt:lpwstr>NDMlNTYiNDAmMTUmNn1rOBspH9Zj2XI5SbM5UGFd0bRd0a13SnQrO9gpMBsxUpVNSUYcRDQlO9QoNmlHND1uRnUlLEUoMTdFND1dH7QlLDUkMBsl</vt:lpwstr>
  </property>
  <property fmtid="{D5CDD505-2E9C-101B-9397-08002B2CF9AE}" pid="1037" name="[M8IqTGxbRWto1b9]0:0">
    <vt:lpwstr>NDMlNTYiNDAoMTIkMn1kNBspH9Zj2XI5SbM5UGFd0bRd0a13T8QqH8pBV9VSQU2FSUYcRnQqO91pMClHMTYuRnMpLEUlN8dFMnUdH7NESVYjMCE3MQ</vt:lpwstr>
  </property>
  <property fmtid="{D5CDD505-2E9C-101B-9397-08002B2CF9AE}" pid="1038" name="[M8IrTGxbRWto1b9]0:0">
    <vt:lpwstr>NDMlNTYiNDAoODAnM8QkNlspH9Zj2XI5SbM5UGFd0bRd0a13T8QqH8pBV9VSQU2FSUYcRnEqO91nNSlHNDYuRnUkLEUlN8dFMnUdH8QsH8E</vt:lpwstr>
  </property>
  <property fmtid="{D5CDD505-2E9C-101B-9397-08002B2CF9AE}" pid="1039" name="[M8IsTGxbRWto1b9]0:0">
    <vt:lpwstr>NDMlNTYiNDAoOTEsOT5lNRspH9Zj2XI5SbM5UGFd0bRd0a13T8QrO9spMBsxQVZFU9FHRU-GKE1lNndHMnYgRnQrO91pMSlFMT1uRTMqKRsqMBsl</vt:lpwstr>
  </property>
  <property fmtid="{D5CDD505-2E9C-101B-9397-08002B2CF9AE}" pid="1040" name="[M8ItTGxbRWto1b9]0:0">
    <vt:lpwstr>NDMlNTYiNDAqM8EpM81rOBspH9Zj2XI5SbM5UGFd0bRd0a13T8QqH6s3MQ</vt:lpwstr>
  </property>
  <property fmtid="{D5CDD505-2E9C-101B-9397-08002B2CF9AE}" pid="1041" name="[M8MkTGxbRWto1b9]0:0">
    <vt:lpwstr>NDMlNTYiNDAqM85oNnImM6spH9Zj2XI5SbM5UGFd0bRd0a13T8QqO9spMBs3H8E</vt:lpwstr>
  </property>
  <property fmtid="{D5CDD505-2E9C-101B-9397-08002B2CF9AE}" pid="1042" name="[M8MlTGxbRWto1b9]0:0">
    <vt:lpwstr>NDMlNTYiNDAsMTQsMTQsMRspH9Zj2XI5SbM5UGFd0bRd0a13RDQkH8pWTExPSpVQKEIoMClCMTYuRnMpLDYdH8M3MQ</vt:lpwstr>
  </property>
  <property fmtid="{D5CDD505-2E9C-101B-9397-08002B2CF9AE}" pid="1043" name="[M8MmTGxbRWto1b9]0:0">
    <vt:lpwstr>NDMlNTYiNDAsM8ItMTYqNlspH9Zj2XI5SbM5UGFd0bRd0a13RDQlO9QoN6sxV9lPTohVUC6CNDEgQ8ErO91nN7kqKRsnH8E</vt:lpwstr>
  </property>
  <property fmtid="{D5CDD505-2E9C-101B-9397-08002B2CF9AE}" pid="1044" name="[M8MnTGxbRWto1b9]0:0">
    <vt:lpwstr>NDMlNTYiNDAsMnIlNnUtMlspH9Zj2XI5SbM5UGFd0bRd0a13RDQlO9QoN6sxV9lPTohVUC6CNDEgQ8ErO91nN7kqLC93Mlsl</vt:lpwstr>
  </property>
  <property fmtid="{D5CDD505-2E9C-101B-9397-08002B2CF9AE}" pid="1045" name="[M8MoTGxbRWto1b9]0:0">
    <vt:lpwstr>NDMlNTYiNDEmNTElNT1oMRspH9Zj2XI5SbM5UGFd0bRd0a13RDQkH8pWTExPSpVQKEIoMClCMTYuRnMpLDYgKRsnH8E</vt:lpwstr>
  </property>
  <property fmtid="{D5CDD505-2E9C-101B-9397-08002B2CF9AE}" pid="1046" name="[M8MpTGxbRWto1b9]0:0">
    <vt:lpwstr>NDMlNTYiNDEmNTYtNDQoNBspH9Zj2XI5SbM5UGFd0bRd0a13RDQlO9QoN6sxV9lPTohVUC6CNDEgQ8ErO91nN7kqLC93Mlsl</vt:lpwstr>
  </property>
  <property fmtid="{D5CDD505-2E9C-101B-9397-08002B2CF9AE}" pid="1047" name="[M8MqTGxbRWto1b9]0:0">
    <vt:lpwstr>NDMlNTYiNDMtMTAsNn9qMlspH9Zj2XI5SbM5UGFd0bRd0a13SnQqO9gpMBs3H8E</vt:lpwstr>
  </property>
  <property fmtid="{D5CDD505-2E9C-101B-9397-08002B2CF9AE}" pid="1048" name="[M8MrTGxbRWto1b9]0:0">
    <vt:lpwstr>NDMlNTYiNDMtN8EsMDUpN6spH9Zj2XI5SbM5UGFd0bRd0a13S8QqO9cpMBs3H8E</vt:lpwstr>
  </property>
  <property fmtid="{D5CDD505-2E9C-101B-9397-08002B2CF9AE}" pid="1049" name="[M8MsTGxbRWto1b9]0:0">
    <vt:lpwstr>NDMlNTYiNDQlMT5kNTUpN6spH9Zj2XI5SbM5UGFd0bRd0a13S8QqH8pDTpVOVE-GKEIlN8dCMnUgQ8QkO9IoN793MRsl</vt:lpwstr>
  </property>
  <property fmtid="{D5CDD505-2E9C-101B-9397-08002B2CF9AE}" pid="1050" name="[M8MtTGxbRWto1b9]0:0">
    <vt:lpwstr>NDMlNTYiNDQlM8MsNDIpORspH9Zj2XI5SbM5UGFd0bRd0a13S8QrO9cpMBsxQoxVT-RJR76CMT1uQ8MqLEIoMTdCND1dH8A3MQ</vt:lpwstr>
  </property>
  <property fmtid="{D5CDD505-2E9C-101B-9397-08002B2CF9AE}" pid="1051" name="[M8QkTGxbRWto1b9]0:0">
    <vt:lpwstr>NDMlNTYiNDQmOD9nNTEsNRspH9Zj2XI5SbM5UGFd0bRd0a13S8QqH8pDTpVOVE-GKE1lN8dHMnUgRDQkO9QoN793Nlsl</vt:lpwstr>
  </property>
  <property fmtid="{D5CDD505-2E9C-101B-9397-08002B2CF9AE}" pid="1052" name="[M8QlTGxbRWto1b9]0:0">
    <vt:lpwstr>NDMlNTYiNDQmOTYmOTYnH8U3Raxp17BK1mBQYW-i2G-iZltKND1uS8UkH8pDTpVOVE-GKE1lNndHMnYgRDQlO9QoNm93MBsl</vt:lpwstr>
  </property>
  <property fmtid="{D5CDD505-2E9C-101B-9397-08002B2CF9AE}" pid="1053" name="[M8QmTGxbRWto1b9]0:0">
    <vt:lpwstr>NDMlNTYiNDQnOD5sOD5sORspH9Zj2XI5SbM5UGFd0bRd0a13S8QrO9cpMBsxQoxVT-RJR76HMT1uRnMqLEQoMTdEND1dH8A3MQ</vt:lpwstr>
  </property>
  <property fmtid="{D5CDD505-2E9C-101B-9397-08002B2CF9AE}" pid="1054" name="[M8QnTGxbRWto1b9]0:0">
    <vt:lpwstr>NDMlNTYiNDQnOTAkNDYnH8U3Raxp17BK1mBQYW-i2G-iZltKNDYuS8UkH6s3MQ</vt:lpwstr>
  </property>
  <property fmtid="{D5CDD505-2E9C-101B-9397-08002B2CF9AE}" pid="1055" name="[M8QoTGxbRWto1b9]0:0">
    <vt:lpwstr>NDMlNTYiNDQpMD5lMDEsNRspH9Zj2XI5SbM5UGFd0bRd0a13S8QqH8pDTpVOVE-GKE1oN8dHNTAgRDQkKRslH8E</vt:lpwstr>
  </property>
  <property fmtid="{D5CDD505-2E9C-101B-9397-08002B2CF9AE}" pid="1056" name="[M8QpTGxbRWto1b9]0:0">
    <vt:lpwstr>NDMlNTYiNDQpMTUkNDYnH8U3Raxp17BK1mBQYW-i2G-iZltKND1uS8UkH8pDTpVOVE-GKE1oNndHNTEgRDQlKRslH8E</vt:lpwstr>
  </property>
  <property fmtid="{D5CDD505-2E9C-101B-9397-08002B2CF9AE}" pid="1057" name="[M8QqTGxbRWto1b9]0:0">
    <vt:lpwstr>NDMlNTYiNDQqM85oNnImM6spH9Zj2XI5SbM5UGFd0bRd0a13S8QqH8pDTpVOVE-GKE1oN8dHNTAgRDQkO9QoN793MRsl</vt:lpwstr>
  </property>
  <property fmtid="{D5CDD505-2E9C-101B-9397-08002B2CF9AE}" pid="1058" name="[M8QrTGxbRWto1b9]0:0">
    <vt:lpwstr>NDMlNTYiNDQqMnUoMTYqNlspH9Zj2XI5SbM5UGFd0bRd0a13S8QrO9cpMBsxQoxVT-RJR76HND1uRnUlLEQoMTdEND1dH8A3MQ</vt:lpwstr>
  </property>
  <property fmtid="{D5CDD505-2E9C-101B-9397-08002B2CF9AE}" pid="1059" name="[M8QsTGxbRWto1b9]0:0">
    <vt:lpwstr>NDMlNTYiNDQqN8AsNn9qMlspH9Zj2XI5SbM5UGFd0bRd0a13S8QqH8pDTpVOVE-GKE1oN7lENDAdH8A3MQ</vt:lpwstr>
  </property>
  <property fmtid="{D5CDD505-2E9C-101B-9397-08002B2CF9AE}" pid="1060" name="[M8QtTGxbRWto1b9]0:0">
    <vt:lpwstr>NDMlNTYiNDQqN8YqN8YqNlspH9Zj2XI5SbM5UGFd0bRd0a13S8QrO9cpMBsxQoxVT-RJR76HND1gRDQlKRskH8E</vt:lpwstr>
  </property>
  <property fmtid="{D5CDD505-2E9C-101B-9397-08002B2CF9AE}" pid="1061" name="[M8UkTGxbRWto1b9]0:0">
    <vt:lpwstr>NDMlNTYiNDQqOD9sMTQsMRspH9Zj2XI5SbM5UGFd0bRd0a13S8QqH8pDTpVOVE-GKEQoMDdENDYgRnQqKRslH8E</vt:lpwstr>
  </property>
  <property fmtid="{D5CDD505-2E9C-101B-9397-08002B2CF9AE}" pid="1062" name="[M8UlTGxbRWto1b9]0:0">
    <vt:lpwstr>NDMlNTYiNDQqOTYrNT9mN6spH9Zj2XI5SbM5UGFd0bRd0a13S8QrO9cpMBsxQoxVT-RJR76ENDEuRDQrLE1oNm93Mlsl</vt:lpwstr>
  </property>
  <property fmtid="{D5CDD505-2E9C-101B-9397-08002B2CF9AE}" pid="1063" name="[M8UmTGxbRWto1b9]0:0">
    <vt:lpwstr>NDMlNTYiNDYnMn9lM8AnNlspH9Zj2XI5SbM5UGFd0bRd0a13SnQqH6s3MQ</vt:lpwstr>
  </property>
  <property fmtid="{D5CDD505-2E9C-101B-9397-08002B2CF9AE}" pid="1064" name="[M8UnTGxbRWto1b9]0:0">
    <vt:lpwstr>NDMlNTYiNDYrMD5nMnMnMlspH9Zj2XI5SbM5UGFd0bRd0a13SnQqH8pQU9xEVUNUKG-aKRs8T9FNRTw3MQ</vt:lpwstr>
  </property>
  <property fmtid="{D5CDD505-2E9C-101B-9397-08002B2CF9AE}" pid="1065" name="[M8UoTGxbRWto1b9]0:0">
    <vt:lpwstr>NDMlNTYiNDYrNnAsMnMnMlspH9Zj2XI5SbM5UGFd0bRd0a13SnQqH8pQU9xEVUNUKE-GKE1oN7lENDAuRDQqLEcoN7dINDYdKRs9M8EqH8E</vt:lpwstr>
  </property>
  <property fmtid="{D5CDD505-2E9C-101B-9397-08002B2CF9AE}" pid="1066" name="[M8UpTGxbRWto1b9]0:0">
    <vt:lpwstr>NDMlNTYiNDYrODIoMD1oMRspH9Zj2XI5SbM5UGFd0bRd0a13SnQrO9gpMBsxUFJPRFVDVC6JR76HND1gRDQlO9QoNmlKND1eSDQrKS93JD1mH8E</vt:lpwstr>
  </property>
  <property fmtid="{D5CDD505-2E9C-101B-9397-08002B2CF9AE}" pid="1067" name="[M8UqTGxbRWto1b9]0:0">
    <vt:lpwstr>NDMlNTYiND1nMD9kM81rOBspH9Zj2XI5SbM5UGFd0bRd0a13SnQqH8pQU9xEVUNUKE-GKE1oN7lENDAgS8QqK95oN79dH7QnH8E</vt:lpwstr>
  </property>
  <property fmtid="{D5CDD505-2E9C-101B-9397-08002B2CF9AE}" pid="1068" name="[M8UrTGxbRWto1b9]0:0">
    <vt:lpwstr>NDMlNTYiND1pOTEoMnUlORspH9Zj2XI5SbM5UGFd0bRd0a13SnQqO9gpMBs3H8E</vt:lpwstr>
  </property>
  <property fmtid="{D5CDD505-2E9C-101B-9397-08002B2CF9AE}" pid="1069" name="[M8UsTGxbRWto1b9]0:0">
    <vt:lpwstr>NDMlNTYiND1qNnUtM8UtMlspH9Zj2XI5SbM5UGFd0bRd0a13SnQqH8pWTExPSpVQKE1oN7lCNDAuRTQqLDMgKRs8T7xBH8E</vt:lpwstr>
  </property>
  <property fmtid="{D5CDD505-2E9C-101B-9397-08002B2CF9AE}" pid="1070" name="[M8UtTGxbRWto1b9]0:0">
    <vt:lpwstr>NDMlNTYiND1qOD9sMTQsMRspH9Zj2XI5SbM5UGFd0bRd0a13SnQqH6s3MQ</vt:lpwstr>
  </property>
  <property fmtid="{D5CDD505-2E9C-101B-9397-08002B2CF9AE}" pid="1071" name="[M8YkTGxbRWto1b9]0:0">
    <vt:lpwstr>NDMlNTYiND5kODEkMT5pM6spH9Zj2XI5SbM5UGFd0bRd0a13SnQqH8pq0Gxj_ls8T9FNRTw3MQ</vt:lpwstr>
  </property>
  <property fmtid="{D5CDD505-2E9C-101B-9397-08002B2CF9AE}" pid="1072" name="[M8YlTGxbRWto1b9]0:0">
    <vt:lpwstr>NDMlNTYiND5kODMnMnMnMlspH9Zj2XI5SbM5UGFd0bRd0a13SnQrH6s3MQ</vt:lpwstr>
  </property>
  <property fmtid="{D5CDD505-2E9C-101B-9397-08002B2CF9AE}" pid="1073" name="[M8YmTGxbRWto1b9]0:0">
    <vt:lpwstr>NDMlNTYiND5lM8MsNDIpORspH9Zj2XI5SbM5UGFd0bRd0a13SnQqH8pWTExPSpVQKE1oN7lCNDAuRTQqLDMgVFJVRS93IosjQRsl</vt:lpwstr>
  </property>
  <property fmtid="{D5CDD505-2E9C-101B-9397-08002B2CF9AE}" pid="1074" name="[M8YnTGxbRWto1b9]0:0">
    <vt:lpwstr>NDMlNTYiND5lM89qM89qMlspH9Zj2XI5SbM5UGFd0bRd0a13SnQrO9goOBsxV9lPTohVUC6HND1gQ8QlO9UoNmknLFRSVUUdH7NOLoE3MQ</vt:lpwstr>
  </property>
  <property fmtid="{D5CDD505-2E9C-101B-9397-08002B2CF9AE}" pid="1075" name="[M8YoTGxbRWto1b9]0:0">
    <vt:lpwstr>NDMlNTYiND5lMnEtNDQoNBspH9Zj2XI5SbM5UGFd0bRd0a13SnQrO9goOBs3H8E</vt:lpwstr>
  </property>
  <property fmtid="{D5CDD505-2E9C-101B-9397-08002B2CF9AE}" pid="1076" name="[M8YpTGxbRWto1b9]0:0">
    <vt:lpwstr>NDMlNTYiND5lMn5sOD5sORspH9Zj2XI5SbM5UGFd0bRd0a13SnQqH8pWTExPSpVQKE1oN7lCNDAuRTQqLDMdH7NOLoE3MQ</vt:lpwstr>
  </property>
  <property fmtid="{D5CDD505-2E9C-101B-9397-08002B2CF9AE}" pid="1077" name="[M8YqTGxbRWto1b9]0:0">
    <vt:lpwstr>NDMlNTYiND5nNDMrNRspH9Zj2XI5SbM5UGFd0bRd0a13SnQqH8pWTExPSpVQKE1oN7lCNDAuRTQqLDMgKRs8T7xBH8E</vt:lpwstr>
  </property>
  <property fmtid="{D5CDD505-2E9C-101B-9397-08002B2CF9AE}" pid="1078" name="[M8YrTGxbRWto1b9]0:0">
    <vt:lpwstr>NDMlNTYiND5nODEtNDQoNBspH9Zj2XI5SbM5UGFd0bRd0a13SnQqH6s3MQ</vt:lpwstr>
  </property>
  <property fmtid="{D5CDD505-2E9C-101B-9397-08002B2CF9AE}" pid="1079" name="[M8YsTGxbRWto1b9]0:0">
    <vt:lpwstr>NDMlNTYiND5pMDYtNDQoNBspH9Zj2XI5SbM5UGFd0bRd0a13SnQqH8pWTExPSpVQKEUoMClCNDAuRTQqLDMgKRs8T7xBH8E</vt:lpwstr>
  </property>
  <property fmtid="{D5CDD505-2E9C-101B-9397-08002B2CF9AE}" pid="1080" name="[M8YtTGxbRWto1b9]0:0">
    <vt:lpwstr>NDMlNTYiND5qOT9kNnQkNlspH9Zj2XI5SbM5UGFd0bRd0a13SnQqH6s3MQ</vt:lpwstr>
  </property>
  <property fmtid="{D5CDD505-2E9C-101B-9397-08002B2CF9AE}" pid="1081" name="[M81kTGxbRWto1b9]0:0">
    <vt:lpwstr>NDMlNTYiND5rMnEoODEoOBspH9Zj2XI5SbM5UGFd0bRd0a13SnQqH8pWTExPSpVQKEUoMClCNDAuRTQqLDQgKRs8T7xBH8E</vt:lpwstr>
  </property>
  <property fmtid="{D5CDD505-2E9C-101B-9397-08002B2CF9AE}" pid="1082" name="[M81lTGxbRWto1b9]0:0">
    <vt:lpwstr>NDMlNTYiND5rNn1rNn1rOBspH9Zj2XI5SbM5UGFd0bRd0a13SnQqH8pWTExPSpVQKEUoMClCNDAuRTQqLDMg2C93IotBTUUzH8E</vt:lpwstr>
  </property>
  <property fmtid="{D5CDD505-2E9C-101B-9397-08002B2CF9AE}" pid="1083" name="[M81mTGxbRWto1b9]0:0">
    <vt:lpwstr>NDMlNTYiND5rOD1kMn1kNBspH9Zj2XI5SbM5UGFd0bRd0a13SnQqH8pWTExPSpVQKEUoMClCNDAuRTQqLDMgKRs8T7xBH8E</vt:lpwstr>
  </property>
  <property fmtid="{D5CDD505-2E9C-101B-9397-08002B2CF9AE}" pid="1084" name="[M81nTGxbRWto1b9]0:0">
    <vt:lpwstr>NDMlNTYiND5rOTIsM8QkNlspH9Zj2XI5SbM5UGFd0bRd0a13SnQrO9goOBsxV9lPTohVUC6FNDEgQ8QlO9UoNmknLC93IosjQRsl</vt:lpwstr>
  </property>
  <property fmtid="{D5CDD505-2E9C-101B-9397-08002B2CF9AE}" pid="1085" name="[M81oTGxbRWto1b9]0:0">
    <vt:lpwstr>NDMlNTYiND5rOTUlMn5sORspH9Zj2XI5SbM5UGFd0bRd0a13SnQrO9goOBs3H8E</vt:lpwstr>
  </property>
  <property fmtid="{D5CDD505-2E9C-101B-9397-08002B2CF9AE}" pid="1086" name="[M81pTGxbRWto1b9]0:0">
    <vt:lpwstr>NDMlNTYiND9kND5qMTElMRspH9Zj2XI5SbM5UGFd0bRd0a13SnQqH8pWTExPSpVQKE1oN7lCNDAuRTQqLDQgKRs8T7xBH8E</vt:lpwstr>
  </property>
  <property fmtid="{D5CDD505-2E9C-101B-9397-08002B2CF9AE}" pid="1087" name="[M81qTGxbRWto1b9]0:0">
    <vt:lpwstr>NDMlNTYiND9lMnMlMDEsNRspH9Zj2XI5SbM5UGFd0bRd0a13SnQqH8pWTExPSpVQKE1oN7lCNDAuRTQqLDMgKRs8T7xBH8E</vt:lpwstr>
  </property>
  <property fmtid="{D5CDD505-2E9C-101B-9397-08002B2CF9AE}" pid="1088" name="[M81rTGxbRWto1b9]0:0">
    <vt:lpwstr>NDMlNTYiND9lOTYrNT9mN6spH9Zj2XI5SbM5UGFd0bRd0a13SnQqH8pWTExPSpVQKE1oN7k9Q7QoMDc9RSQoN7koLC93IosjQRsl</vt:lpwstr>
  </property>
  <property fmtid="{D5CDD505-2E9C-101B-9397-08002B2CF9AE}" pid="1089" name="[M81sTGxbRWto1b9]0:0">
    <vt:lpwstr>NDMlNTYiND9mNDUnNnAnNlspH9Zj2XI5SbM5UGFd0bRd0a13SnQqH8pWTExPSpVQKE1oN7k9Q7QoMDc9RSQoN7koLC93IosjQRsl</vt:lpwstr>
  </property>
  <property fmtid="{D5CDD505-2E9C-101B-9397-08002B2CF9AE}" pid="1090" name="[M81tTGxbRWto1b9]0:0">
    <vt:lpwstr>NDMlNTYiND9mNn1rNn1rOBspH9Zj2XI5SbM5UGFd0bRd0a13SnQqH8pWTExPSpVQKE1oN7lENDAuRTQqLDIdH7NOLoE3MQ</vt:lpwstr>
  </property>
  <property fmtid="{D5CDD505-2E9C-101B-9397-08002B2CF9AE}" pid="1091" name="[M85kTGxbRWto1b9]0:0">
    <vt:lpwstr>NDMlNTYiND9nNTYoODEoOBspH9Zj2XI5SbM5UGFd0bRd0a13SnQqH8pWTExPSpVQKE1oN7k9RCQoMDc9RSQoN7kmKRs8T7xBH8E</vt:lpwstr>
  </property>
  <property fmtid="{D5CDD505-2E9C-101B-9397-08002B2CF9AE}" pid="1092" name="[M85lTGxbRWto1b9]0:0">
    <vt:lpwstr>NDMlNTYiND9nN89mMTItN6spH9Zj2XI5SbM5UGFd0bRd0a13SnQqH8pWTExPSpVQKCRHJDQqLCREJDQkO7RFJDQqLDIdH7NOLoE3MQ</vt:lpwstr>
  </property>
  <property fmtid="{D5CDD505-2E9C-101B-9397-08002B2CF9AE}" pid="1093" name="[M85mTGxbRWto1b9]0:0">
    <vt:lpwstr>NDMlNTYiND9nNnMsNDIpORspH9Zj2XI5SbM5UGFd0bRd0a13SnQrO9goOBsxV9lPTohVUC59RmQoN7k9RCQoMDc9RSQoN7kmKRs8T7xBH8E</vt:lpwstr>
  </property>
  <property fmtid="{D5CDD505-2E9C-101B-9397-08002B2CF9AE}" pid="1094" name="[M85nTGxbRWto1b9]0:0">
    <vt:lpwstr>NDMlNTYiND9nNnU3NRtG0rVmIEdnIFB6_Wto_WtbH9goNndLND53H6sl</vt:lpwstr>
  </property>
  <property fmtid="{D5CDD505-2E9C-101B-9397-08002B2CF9AE}" pid="1095" name="[M85oTGxbRWto1b9]0:0">
    <vt:lpwstr>NDMlNTYiNTAlMDEsNTEsNRspH9Zj2XI5SbM5UGFd0bRd0a13SnQqH8pWTExPSpVQKE1oN7k9RCQoMDc9RSQoN7klLC93JDE3MQ</vt:lpwstr>
  </property>
  <property fmtid="{D5CDD505-2E9C-101B-9397-08002B2CF9AE}" pid="1096" name="[M85pTGxbRWto1b9]0:0">
    <vt:lpwstr>NDMlNTYiNTAlM8AnNnAnNlspH9Zj2XI5SbM5UGFd0bRd0a13SnQrO9gpMBsxV9lPTohVUC6HND1gJEQ9NDAuJEU9NDYgMSkdH7QmH8E</vt:lpwstr>
  </property>
  <property fmtid="{D5CDD505-2E9C-101B-9397-08002B2CF9AE}" pid="1097" name="[M85qTGxbRWto1b9]0:0">
    <vt:lpwstr>NDMlNTYiNTAlNnUtM8UtMlspH9Zj2XI5SbM5UGFd0bRd0a13SnQqH8pQU9xEVUNUKFZMToxLVVAcRnQqLCREJDQkO7RFJDQqLDEgKSlINDYdH7QoH8E</vt:lpwstr>
  </property>
  <property fmtid="{D5CDD505-2E9C-101B-9397-08002B2CF9AE}" pid="1098" name="[M85rTGxbRWto1b9]0:0">
    <vt:lpwstr>NDMlNTYiNTAlODApNTUpN6spH9Zj2XI5SbM5UGFd0bRd0a13SnQrO9gpMBsxUFJPRFVDVC6WTExPSpVQKE1oNmk9RCQoMDc9RSQoN7klLC9gSDQrKRs9MTQ3MQ</vt:lpwstr>
  </property>
  <property fmtid="{D5CDD505-2E9C-101B-9397-08002B2CF9AE}" pid="1099" name="[M85sTGxbRWto1b9]0:0">
    <vt:lpwstr>NDMlNTYiNTAmMTQlM8AnNlspH9Zj2XI5SbM5UGFd0bRd0a13SnQqH8pWTExPSpVQKE1oN7k9RCQoMDc9RSQoN7klLC93JDE3MQ</vt:lpwstr>
  </property>
  <property fmtid="{D5CDD505-2E9C-101B-9397-08002B2CF9AE}" pid="1100" name="[M85tTGxbRWto1b9]0:0">
    <vt:lpwstr>NDMlNTYiNTAmM8YsNTEsNRspH9Zj2XI5SbM5UGFd0bRd0a13SnQrO9gpMBsxV9lPTohVUC6HND1gJEQ9NDAuJEU9NDYgMSkdH7QmH8E</vt:lpwstr>
  </property>
  <property fmtid="{D5CDD505-2E9C-101B-9397-08002B2CF9AE}" pid="1101" name="[M89kTGxbRWto1b9]0:0">
    <vt:lpwstr>NDMlNTYiNTAoMDAoN8ItN6spH9Zj2XI5SbM5UGFd0bRd0a13SnQqH6s3MQ</vt:lpwstr>
  </property>
  <property fmtid="{D5CDD505-2E9C-101B-9397-08002B2CF9AE}" pid="1102" name="[M89lTGxbRWto1b9]0:0">
    <vt:lpwstr>NDMlNTYiNTAoMDMtMnUlORspH9Zj2XI5SbM5UGFd0bRd0a13SnQrH6s3MQ</vt:lpwstr>
  </property>
  <property fmtid="{D5CDD505-2E9C-101B-9397-08002B2CF9AE}" pid="1103" name="[M89mTGxbRWto1b9]0:0">
    <vt:lpwstr>NDMlNTYiNTAoMDMtMnUlORspH9Zj2XI5SbM5UGFd0bRd0a13SnQsH6s3MQ</vt:lpwstr>
  </property>
  <property fmtid="{D5CDD505-2E9C-101B-9397-08002B2CF9AE}" pid="1104" name="[M89nTGxbRWto1b9]0:0">
    <vt:lpwstr>NDMlNTYiNTAoMDMtMnUlORspH9Zj2XI5SbM5UGFd0bRd0a13SnQtH6s3MQ</vt:lpwstr>
  </property>
  <property fmtid="{D5CDD505-2E9C-101B-9397-08002B2CF9AE}" pid="1105" name="[M89oTGxbRWto1b9]0:0">
    <vt:lpwstr>NDMlNTYiNTAoMDUkOTIpORspH9Zj2XI5SbM5UGFd0bRd0a13SnUkH6s3MQ</vt:lpwstr>
  </property>
  <property fmtid="{D5CDD505-2E9C-101B-9397-08002B2CF9AE}" pid="1106" name="[M89pTGxbRWto1b9]0:0">
    <vt:lpwstr>NDMlNTYiNTApNnErNT9mN6spH9Zj2XI5SbM5UGFd0bRd0a13SnQqH8pWTExPSpVQKEUoMCk9RCQoMDc9RSQoN7klKRs9Mlsl</vt:lpwstr>
  </property>
  <property fmtid="{D5CDD505-2E9C-101B-9397-08002B2CF9AE}" pid="1107" name="[M89qTGxbRWto1b9]0:0">
    <vt:lpwstr>NDMlNTYiNTAqMn5sOD5sORspH9Zj2XI5SbM5UGFd0bRd0a13SnQrO9goOBsxV9lPTohVUC6FNDEgJEQ9NDAuJEU9NDYgMS93JDM3MQ</vt:lpwstr>
  </property>
  <property fmtid="{D5CDD505-2E9C-101B-9397-08002B2CF9AE}" pid="1108" name="[M89rTGxbRWto1b9]0:0">
    <vt:lpwstr>NDMlNTYiNTAqNDQqNnUtMlspH9Zj2XI5SbM5UGFd0bRd0a13SnQrO9goOBs3H8E</vt:lpwstr>
  </property>
  <property fmtid="{D5CDD505-2E9C-101B-9397-08002B2CF9AE}" pid="1109" name="[M89sTGxbRWto1b9]0:0">
    <vt:lpwstr>NDMlNTYiNTArMnYlMTElMRspH9Zj2XI5SbM5UGFd0bRd0a13SnQqH8pWTExPSpVQKEUoMCk9RCQoMDc9RSQoN7kmKRs9NTAkH8E</vt:lpwstr>
  </property>
  <property fmtid="{D5CDD505-2E9C-101B-9397-08002B2CF9AE}" pid="1110" name="[M89tTGxbRWto1b9]0:0">
    <vt:lpwstr>NDMlNTYiNTAtMnUlODUlORspH9Zj2XI5SbM5UGFd0bRd0a13SnQqH8pWTExPSpVQKE1oN7k9RCQoMDc9RSQoN7kmKRs8T7xBH8E</vt:lpwstr>
  </property>
  <property fmtid="{D5CDD505-2E9C-101B-9397-08002B2CF9AE}" pid="1111" name="[MnAkTGxbRWto1b9]0:0">
    <vt:lpwstr>NDMlNTYiNTAtN81pOTIpORspH9Zj2XI5SbM5UGFd0bRd0a13SnQqH8pWTExPSpVQKE1oN7k9RCQoMDc9RSQoN7kmLC93JDIpMBsl</vt:lpwstr>
  </property>
  <property fmtid="{D5CDD505-2E9C-101B-9397-08002B2CF9AE}" pid="1112" name="[MnAlTGxbRWto1b9]0:0">
    <vt:lpwstr>NDMlNTYiNTAtODAnM8QkNlspH9Zj2XI5SbM5UGFd0bRd0a13SnQrO9gpMBsxV9lPTohVUC6HND1gJEQ9NDAuJEU9NDYgM7kdH7QnMDA3MQ</vt:lpwstr>
  </property>
  <property fmtid="{D5CDD505-2E9C-101B-9397-08002B2CF9AE}" pid="1113" name="[MnAmTGxbRWto1b9]0:0">
    <vt:lpwstr>NDMlNTYiNTEkOTMrNRspH9Zj2XI5SbM5UGFd0bRd0a13SnQqH6s3MQ</vt:lpwstr>
  </property>
  <property fmtid="{D5CDD505-2E9C-101B-9397-08002B2CF9AE}" pid="1114" name="[MnAnTGxbRWto1b9]0:0">
    <vt:lpwstr>NDMlNTYiNTEkOTQtMD1oMRspH9Zj2XI5SbM5UGFd0bRd0a13SnQrH6s3MQ</vt:lpwstr>
  </property>
  <property fmtid="{D5CDD505-2E9C-101B-9397-08002B2CF9AE}" pid="1115" name="[MnAoTGxbRWto1b9]0:0">
    <vt:lpwstr>NDMlNTYiNTEkOTQtMD1oMRspH9Zj2XI5SbM5UGFd0bRd0a13SnQsH6s3MQ</vt:lpwstr>
  </property>
  <property fmtid="{D5CDD505-2E9C-101B-9397-08002B2CF9AE}" pid="1116" name="[MnApTGxbRWto1b9]0:0">
    <vt:lpwstr>NDMlNTYiNTEkOTQtMD1oMRspH9Zj2XI5SbM5UGFd0bRd0a13SnQtH6s3MQ</vt:lpwstr>
  </property>
  <property fmtid="{D5CDD505-2E9C-101B-9397-08002B2CF9AE}" pid="1117" name="[MnAqTGxbRWto1b9]0:0">
    <vt:lpwstr>NDMlNTYiNTEkOTYkN8QsMRspH9Zj2XI5SbM5UGFd0bRd0a13SnUkH6s3MQ</vt:lpwstr>
  </property>
  <property fmtid="{D5CDD505-2E9C-101B-9397-08002B2CF9AE}" pid="1118" name="[MnArTGxbRWto1b9]0:0">
    <vt:lpwstr>NDMlNTYiNTEoMTYqN8YqNlspH9Zj2XI5SbM5UGFd0bRd0a13SnQqH8pWTExPSpVQKEUoMCk9RCQoMDc9RSQoN7klLC93IosjQRsl</vt:lpwstr>
  </property>
  <property fmtid="{D5CDD505-2E9C-101B-9397-08002B2CF9AE}" pid="1119" name="[MnAsTGxbRWto1b9]0:0">
    <vt:lpwstr>NDMlNTYiNTEoM8MqMTElMRspH9Zj2XI5SbM5UGFd0bRd0a13SnQqH8pWTExPSpVQKEUoMCk9RCQoMDc9RSQoN7klLFRSVUUdH7QnH8E</vt:lpwstr>
  </property>
  <property fmtid="{D5CDD505-2E9C-101B-9397-08002B2CF9AE}" pid="1120" name="[MnAtTGxbRWto1b9]0:0">
    <vt:lpwstr>NDMlNTYiNTEoNDUqMDEsNRspH9Zj2XI5SbM5UGFd0bRd0a13SnQqH8pWTExPSpVQKEUoMCk9RCQoMDc9RSQoN7kmLFRSVUUdH7QpMDA3MQ</vt:lpwstr>
  </property>
  <property fmtid="{D5CDD505-2E9C-101B-9397-08002B2CF9AE}" pid="1121" name="[MnEkTGxbRWto1b9]0:0">
    <vt:lpwstr>NDMlNTYiNTEoODEoODEoOBspH9Zj2XI5SbM5UGFd0bRd0a13SnQqH8pWTExPSpVQKEUoMCk9RCQoMDc9RSQoN7klLFRSVUUdH7QnH8E</vt:lpwstr>
  </property>
  <property fmtid="{D5CDD505-2E9C-101B-9397-08002B2CF9AE}" pid="1122" name="[MnElTGxbRWto1b9]0:0">
    <vt:lpwstr>NDMlNTYiNTEpOTMrNRspH9Zj2XI5SbM5UGFd0bRd0a13SnQqH8pWTExPSpVQKEQoMCk9RCQoMDc9RSQoN7kmLFRSVUUdH7QpMDA3MQ</vt:lpwstr>
  </property>
  <property fmtid="{D5CDD505-2E9C-101B-9397-08002B2CF9AE}" pid="1123" name="[MnEmTGxbRWto1b9]0:0">
    <vt:lpwstr>NDMlNTYiNTEqNDUsMnMnMlspH9Zj2XI5SbM5UGFd0bRd0a13SnQqH8pWTExPSpVQKE1oN7k9RCQoMDc9RSQoN7klLFRSVUUdH7NOLoE3MQ</vt:lpwstr>
  </property>
  <property fmtid="{D5CDD505-2E9C-101B-9397-08002B2CF9AE}" pid="1124" name="[MnEnTGxbRWto1b9]0:0">
    <vt:lpwstr>NDMlNTYiN8AqMTYsOT5lNRspH9Zj2XI5SbM5UGFd0bRd0a13SnQqH6s3MQ</vt:lpwstr>
  </property>
  <property fmtid="{D5CDD505-2E9C-101B-9397-08002B2CF9AE}" pid="1125" name="[MnEoTGxbRWto1b9]0:0">
    <vt:lpwstr>NDMlNTYiN8IkNn9sN8ElMRspH9Zj2XI5SbM5UGFd0bRd0a13SnQqH8pWTExPSpVQKE1oN7lENDAuRTQqLDEgKRs9MRsl</vt:lpwstr>
  </property>
  <property fmtid="{D5CDD505-2E9C-101B-9397-08002B2CF9AE}" pid="1126" name="[MnEpTGxbRWto1b9]0:0">
    <vt:lpwstr>NDMlNTYiN8IkOTEoMnUlORspH9Zj2XI5SbM5UGFd0bRd0a13SnQqH8pWTExPSpVQKE1oN7lENDAuRTQqLDIgKRs9M8UkH8E</vt:lpwstr>
  </property>
  <property fmtid="{D5CDD505-2E9C-101B-9397-08002B2CF9AE}" pid="1127" name="[MnEqTGxbRWto1b9]0:0">
    <vt:lpwstr>NDMlNTYiN8IlMD1qMn5sORspH9Zj2XI5SbM5UGFd0bRd0a13SnQrH8pWTExPSpVQKE1oNmlENDEuRTQrLDIgKRs9MnAkH8E</vt:lpwstr>
  </property>
  <property fmtid="{D5CDD505-2E9C-101B-9397-08002B2CF9AE}" pid="1128" name="[MnErTGxbRWto1b9]0:0">
    <vt:lpwstr>NDMlNTYiN8IlMnMlMDEsNRspH9Zj2XI5SbM5UGFd0bRd0a13SnQqH8pWTExPSpVQKE1oN7k9RCQoMDc9RSQoN7kmLC93JDIpMBsl</vt:lpwstr>
  </property>
  <property fmtid="{D5CDD505-2E9C-101B-9397-08002B2CF9AE}" pid="1129" name="[MnEsTGxbRWto1b9]0:0">
    <vt:lpwstr>NDMlNTYiN8IlMn5sOD5sORspH9Zj2XI5SbM5UGFd0bRd0a13SnQrO9gpMBsxV9lPTohVUC6HND1gJEQ9NDAuJEU9NDYgM7kdH7QnMDA3MQ</vt:lpwstr>
  </property>
  <property fmtid="{D5CDD505-2E9C-101B-9397-08002B2CF9AE}" pid="1130" name="[MnEtTGxbRWto1b9]0:0">
    <vt:lpwstr>NDMlNTYiN8IlOTYrNT9mN6spH9Zj2XI5SbM5UGFd0bRd0a13SnQqH8pWTExPSpVQKE1oN7k9RCQoMDc9RSQoN7kmLGYdH7NOQUpFPlsl</vt:lpwstr>
  </property>
  <property fmtid="{D5CDD505-2E9C-101B-9397-08002B2CF9AE}" pid="1131" name="[MnIkTGxbRWto1b9]0:0">
    <vt:lpwstr>NDMlNTYiN8ImMD1lNnUtMlspH9Zj2XI5SbM5UGFd0bRd0a13SnQqH8pWTExPSpVQKE1oN7k9RCQoMDc9RSQoN7kmLC93JDIpMBsl</vt:lpwstr>
  </property>
  <property fmtid="{D5CDD505-2E9C-101B-9397-08002B2CF9AE}" pid="1132" name="[MnIlTGxbRWto1b9]0:0">
    <vt:lpwstr>NDMlNTYiN8ImMTItN8ItN6spH9Zj2XI5SbM5UGFd0bRd0a13SnQrO9gpMBsxV9lPTohVUC6HND1gJEQ9NDAuJEU9NDYgM7kdH7QnMDA3MQ</vt:lpwstr>
  </property>
  <property fmtid="{D5CDD505-2E9C-101B-9397-08002B2CF9AE}" pid="1133" name="[MnImTGxbRWto1b9]0:0">
    <vt:lpwstr>NDMlNTYiN8ImM8UqOTQoNBspH9Zj2XI5SbM5UGFd0bRd0a13SnQqH8pWTExPSpVQKE1oN7k9RCQoMDc9RSQoN7kmLC93JDIpMBsl</vt:lpwstr>
  </property>
  <property fmtid="{D5CDD505-2E9C-101B-9397-08002B2CF9AE}" pid="1134" name="[MnInTGxbRWto1b9]0:0">
    <vt:lpwstr>NDMlNTYiN8ImMnEoODEoOBspH9Zj2XI5SbM5UGFd0bRd0a13SnQrO9gpMBsxV9lPTohVUC6HND1gJEQ9NDAuJEU9NDYgM7kdH7QnMDA3MQ</vt:lpwstr>
  </property>
  <property fmtid="{D5CDD505-2E9C-101B-9397-08002B2CF9AE}" pid="1135" name="[MnIoTGxbRWto1b9]0:0">
    <vt:lpwstr>NDMlNTYiN8ImNnYqM8AnNlspH9Zj2XI5SbM5UGFd0bRd0a13SnQqH8pWTExPSpVQKE1oN7k9RCQoMDc9RSQoN7kmLC95K7B80rVi2Bs8T9FNRTw3MQ</vt:lpwstr>
  </property>
  <property fmtid="{D5CDD505-2E9C-101B-9397-08002B2CF9AE}" pid="1136" name="[MnIpTGxbRWto1b9]0:0">
    <vt:lpwstr>NDMlNTYiN8ImOT5qMTElMRspH9Zj2XI5SbM5UGFd0bRd0a13SnQqH8pWTExPSpVQKE1oN7k9RCQoMDc9RSQoN7kmLC95K7B80rVi2Bs8T9FNRTw3MQ</vt:lpwstr>
  </property>
  <property fmtid="{D5CDD505-2E9C-101B-9397-08002B2CF9AE}" pid="1137" name="[MnIqTGxbRWto1b9]0:0">
    <vt:lpwstr>NDMlNTYiN8InNDQtMD1oMRspH9Zj2XI5SbM5UGFd0bRd0a13SnQqH8pWTExPSpVQKE1oN7k9RCQoMDc9RSQoN7kmLC93JDIpMBsl</vt:lpwstr>
  </property>
  <property fmtid="{D5CDD505-2E9C-101B-9397-08002B2CF9AE}" pid="1138" name="[MnIrTGxbRWto1b9]0:0">
    <vt:lpwstr>NDMlNTYiN8InNTAqOTQoNBspH9Zj2XI5SbM5UGFd0bRd0a13SnQrO9gpMBsxV9lPTohVUC6HND1gJEQ9NDAuJEU9NDYgM7kdH7QnMDA3MQ</vt:lpwstr>
  </property>
  <property fmtid="{D5CDD505-2E9C-101B-9397-08002B2CF9AE}" pid="1139" name="[MnIsTGxbRWto1b9]0:0">
    <vt:lpwstr>NDMlNTYiN8IpNnUmMnEoOBspH9Zj2XI5SbM5UGFd0bRd0a13SnQqH8pJT9RFWC6ENDAuRDQqLE1oN8dHNTAgRTQkKRs8U9VGIRsl</vt:lpwstr>
  </property>
  <property fmtid="{D5CDD505-2E9C-101B-9397-08002B2CF9AE}" pid="1140" name="[MnItTGxbRWto1b9]0:0">
    <vt:lpwstr>NDMlNTYiN8IsOTQqNnUtMlspH9Zj2XI5SbM5UGFd0bRd0a13SnQqH8pJT9RFWC59RCQoMDc9RSQoN7lNQVRDSC6HNDYgJEQ9NDAuJEU9NDYgKS93IosjQRsl</vt:lpwstr>
  </property>
  <property fmtid="{D5CDD505-2E9C-101B-9397-08002B2CF9AE}" pid="1141" name="[MnMkTGxbRWto1b9]0:0">
    <vt:lpwstr>NDMlNTYiN8ItM8EmOTYnH8U3Raxp17BK1mBQYW-i2G-iZltLNDY3H6sl</vt:lpwstr>
  </property>
  <property fmtid="{D5CDD505-2E9C-101B-9397-08002B2CF9AE}" pid="1142" name="[MnMlTGxbRWto1b9]0:0">
    <vt:lpwstr>NDMlNTYiN8ItM8EmOTYnH8U3Raxp17BK1mBQYW-i2G-iZltLND13H6sl</vt:lpwstr>
  </property>
  <property fmtid="{D5CDD505-2E9C-101B-9397-08002B2CF9AE}" pid="1143" name="[MnMmTGxbRWto1b9]0:0">
    <vt:lpwstr>NDMlNTYiN8ItM8EmOTYnH8U3Raxp17BK1mBQYW-i2G-iZltLND53H6sl</vt:lpwstr>
  </property>
  <property fmtid="{D5CDD505-2E9C-101B-9397-08002B2CF9AE}" pid="1144" name="[MnMnTGxbRWto1b9]0:0">
    <vt:lpwstr>NDMlNTYiN8ItM8EmOTYnH8U3Raxp17BK1mBQYW-i2G-iZltLND93H6sl</vt:lpwstr>
  </property>
  <property fmtid="{D5CDD505-2E9C-101B-9397-08002B2CF9AE}" pid="1145" name="[MnMoTGxbRWto1b9]0:0">
    <vt:lpwstr>NDMlNTYiN8ItM8IoNTMrH8U3Raxp17BK1mBQYW-i2G-iZltLNTA3H6sl</vt:lpwstr>
  </property>
  <property fmtid="{D5CDD505-2E9C-101B-9397-08002B2CF9AE}" pid="1146" name="[MnMpTGxbRWto1b9]0:0">
    <vt:lpwstr>NDMlNTYiN8MlMDMkMD9mN6spH9Zj2XI5SbM5UGFd0bRd0a13SnQqH-ZMToxLVVAcRnQqLCREJDQkO7RFJDQqLDIgKRtWTExPSpVQKE1oN7k9RCQoMDc9RSQoN7kmLC93MQ</vt:lpwstr>
  </property>
  <property fmtid="{D5CDD505-2E9C-101B-9397-08002B2CF9AE}" pid="1147" name="[MnMqTGxbRWto1b9]0:0">
    <vt:lpwstr>NDMlNTYiN8MlMD9tNTMrH8U3Raxp17BK1mBQYW-i2G-iZltLNDY3PVZMToxLVVAcRnQqLCREJDQkO7RFJDQqLDIgKRs9M8UkH8E</vt:lpwstr>
  </property>
  <property fmtid="{D5CDD505-2E9C-101B-9397-08002B2CF9AE}" pid="1148" name="[MnMrTGxbRWto1b9]0:0">
    <vt:lpwstr>NDMlNTYiN8MlMTYsOT5lNRspH9Zj2XI5SbM5UGFd0bRd0a13SnQrO9gpMBsxV9lPTohVUC6HND1gJEQ9NDAuJEU9NDYgM7kdH7QnMDA3MQ</vt:lpwstr>
  </property>
  <property fmtid="{D5CDD505-2E9C-101B-9397-08002B2CF9AE}" pid="1149" name="[MnMsTGxbRWto1b9]0:0">
    <vt:lpwstr>NDMlNTYiN8MpMTAoMTYqNlspH9Zj2XI5SbM5UGFd0bRd0a13SnQqH8pITExPSpVQKE1oN7k9RCQoMDc9RSQoN7kmLC93IosjQRsl</vt:lpwstr>
  </property>
  <property fmtid="{D5CDD505-2E9C-101B-9397-08002B2CF9AE}" pid="1150" name="[MnMtTGxbRWto1b9]0:0">
    <vt:lpwstr>NDMlNTYiN8MpNTYrMTItN6spH9Zj2XI5SbM5UGFd0bRd0a13SnQqH8pITExPSpVQKEUoMClENDAuRTQqLE1oN7kdH7QoMDA3MQ</vt:lpwstr>
  </property>
  <property fmtid="{D5CDD505-2E9C-101B-9397-08002B2CF9AE}" pid="1151" name="[MnQkTGxbRWto1b9]0:0">
    <vt:lpwstr>NDMlNTYiN8MpNnQkNnQkNlspH9Zj2XI5SbM5UGFd0bRd0a13SnQrO9gpMBsxSElPTohVUC6FNDEgRDQlO9UoNmlHND1gKRs9MnAkH8E</vt:lpwstr>
  </property>
  <property fmtid="{D5CDD505-2E9C-101B-9397-08002B2CF9AE}" pid="1152" name="[MnQlTGxbRWto1b9]0:0">
    <vt:lpwstr>NDMlNTYiN8MqMTQpODMnMlspH9Zj2XI5SbM5UGFd0bRd0a13SnQqH6s3MQ</vt:lpwstr>
  </property>
  <property fmtid="{D5CDD505-2E9C-101B-9397-08002B2CF9AE}" pid="1153" name="[MnQmTGxbRWto1b9]0:0">
    <vt:lpwstr>NDMlNTYiN8MqMT5kNTUpN6spH9Zj2XI5SbM5UGFd0bRd0a13SnQrH6s3MQ</vt:lpwstr>
  </property>
  <property fmtid="{D5CDD505-2E9C-101B-9397-08002B2CF9AE}" pid="1154" name="[MnQnTGxbRWto1b9]0:0">
    <vt:lpwstr>NDMlNTYiN8MqMT9mMTItN6spH9Zj2XI5SbM5UGFd0bRd0a13SnQsH6s3MQ</vt:lpwstr>
  </property>
  <property fmtid="{D5CDD505-2E9C-101B-9397-08002B2CF9AE}" pid="1155" name="[MnQoTGxbRWto1b9]0:0">
    <vt:lpwstr>NDMlNTYiN8MqMT9mMTItN6spH9Zj2XI5SbM5UGFd0bRd0a13SnQtH6s3MQ</vt:lpwstr>
  </property>
  <property fmtid="{D5CDD505-2E9C-101B-9397-08002B2CF9AE}" pid="1156" name="[MnQpTGxbRWto1b9]0:0">
    <vt:lpwstr>NDMlNTYiN8MqMT9mMTItN6spH9Zj2XI5SbM5UGFd0bRd0a13SnUkH6s3MQ</vt:lpwstr>
  </property>
  <property fmtid="{D5CDD505-2E9C-101B-9397-08002B2CF9AE}" pid="1157" name="[MnQqTGxbRWto1b9]0:0">
    <vt:lpwstr>NDMlNTYiN8QmM8EkN8QsMRspH9Zj2XI5SbM5UGFd0bRd0a13SnQqH6s3MQ</vt:lpwstr>
  </property>
  <property fmtid="{D5CDD505-2E9C-101B-9397-08002B2CF9AE}" pid="1158" name="[MnQrTGxbRWto1b9]0:0">
    <vt:lpwstr>NDMlNTYiN8QmM8MnNn9qMlspH9Zj2XI5SbM5UGFd0bRd0a13S8QrO9cpMBsxQoxVT-RJR76ENDEuRDQrLE1oNm93Mlsl</vt:lpwstr>
  </property>
  <property fmtid="{D5CDD505-2E9C-101B-9397-08002B2CF9AE}" pid="1159" name="[MnQsTGxbRWto1b9]0:0">
    <vt:lpwstr>NDMlNTYiN8QmNDArNDArNBspH9Zj2XI5SbM5UGFd0bRd0a13S8QqH6s3MQ</vt:lpwstr>
  </property>
  <property fmtid="{D5CDD505-2E9C-101B-9397-08002B2CF9AE}" pid="1160" name="[MnQtTGxbRWto1b9]0:0">
    <vt:lpwstr>NDMlNTYiN8QmNDArNDArNBspH9Zj2XI5SbM5UGFd0bRd0a13S8QrH6s3MQ</vt:lpwstr>
  </property>
  <property fmtid="{D5CDD505-2E9C-101B-9397-08002B2CF9AE}" pid="1161" name="[MnUkTGxbRWto1b9]0:0">
    <vt:lpwstr>NDMlNTYiN8QmNDEsOT5lNRspH9Zj2XI5SbM5UGFd0bRd0a13S8QsH6s3MQ</vt:lpwstr>
  </property>
  <property fmtid="{D5CDD505-2E9C-101B-9397-08002B2CF9AE}" pid="1162" name="[MnUlTGxbRWto1b9]0:0">
    <vt:lpwstr>NDMlNTYiN8QmNDEsOT5lNRspH9Zj2XI5SbM5UGFd0bRd0a13S8QsH6s3MQ</vt:lpwstr>
  </property>
  <property fmtid="{D5CDD505-2E9C-101B-9397-08002B2CF9AE}" pid="1163" name="[MnUmTGxbRWto1b9]0:0">
    <vt:lpwstr>NDMlNTYiN8QmNDEsOT5lNRspH9Zj2XI5SbM5UGFd0bRd0a13S8QtH6s3MQ</vt:lpwstr>
  </property>
  <property fmtid="{D5CDD505-2E9C-101B-9397-08002B2CF9AE}" pid="1164" name="[MnUnTGxbRWto1b9]0:0">
    <vt:lpwstr>NDMlNTYiN8QmNDMkNTUpN6spH9Zj2XI5SbM5UGFd0bRd0a13S8UkH6s3MQ</vt:lpwstr>
  </property>
  <property fmtid="{D5CDD505-2E9C-101B-9397-08002B2CF9AE}" pid="1165" name="[MnUoTGxbRWto1b9]0:0">
    <vt:lpwstr>NDMlNTYiN8QmN8UkNDYnH8U3Raxp17BK1mBQYW-i2G-iZltKNDY3PUNPVUtUSUYcRnQqO91pMClENDAdH8E3MQ</vt:lpwstr>
  </property>
  <property fmtid="{D5CDD505-2E9C-101B-9397-08002B2CF9AE}" pid="1166" name="[MnUpTGxbRWto1b9]0:0">
    <vt:lpwstr>NDMlNTYiN8QmNnAsMnMnMlspH9Zj2XI5SbM5UGFd0bRd0a13S8QrO9cpMBsxQoxVT-RJR76HND1uRnUlLEQoMS93MRsl</vt:lpwstr>
  </property>
  <property fmtid="{D5CDD505-2E9C-101B-9397-08002B2CF9AE}" pid="1167" name="[MnUqTGxbRWto1b9]0:0">
    <vt:lpwstr>NDMlNTYiN8QmNn5tMnUlOBspH9Zj2XI5SbM5UGFd0bRd0a13S8QqO9cpMBs3H8E</vt:lpwstr>
  </property>
  <property fmtid="{D5CDD505-2E9C-101B-9397-08002B2CF9AE}" pid="1168" name="[MnUrTGxbRWto1b9]0:0">
    <vt:lpwstr>NDMlNTYiN8QnMDAtM8UtMlspH9Zj2XI5SbM5UGFd0bRd0a13S8QqH8pDTpVOVE-GKEQoMDdENDYgRnQqKRslH8E</vt:lpwstr>
  </property>
  <property fmtid="{D5CDD505-2E9C-101B-9397-08002B2CF9AE}" pid="1169" name="[MnUsTGxbRWto1b9]0:0">
    <vt:lpwstr>NDMlNTYiN8QnMT9oNDQoNBspH9Zj2XI5SbM5UGFd0bRd0a13S8QqH8pDTpVOVE-GKCREJDQkO7REJDQqLE1oN793MRsl</vt:lpwstr>
  </property>
  <property fmtid="{D5CDD505-2E9C-101B-9397-08002B2CF9AE}" pid="1170" name="[MnUtTGxbRWto1b9]0:0">
    <vt:lpwstr>NDMlNTYiN8QnM8QkNnQkNlspH9Zj2XI5SbM5UGFd0bRd0a13S8QrO9cpMBsxQoxVT-RJR759RCQoMDc9RCQoN7lHND1dH8M3MQ</vt:lpwstr>
  </property>
  <property fmtid="{D5CDD505-2E9C-101B-9397-08002B2CF9AE}" pid="1171" name="[MnYkTGxbRWto1b9]0:0">
    <vt:lpwstr>NDMlNTYiN8UoMD9rM8ImM6spH9Zj2XI5SbM5UGFd0bRd0a13SnQqH8pTVUpJR76ENDAuRDQqLE1oN7lFNDAuRTQqKRs9M8UkH8E</vt:lpwstr>
  </property>
  <property fmtid="{D5CDD505-2E9C-101B-9397-08002B2CF9AE}" pid="1172" name="[MnYlTGxbRWto1b9]0:0">
    <vt:lpwstr>NDMlNTYiN8UoMTUpMD9mN6spH9Zj2XI5SbM5UGFd0bRd0a13SnQrO9gpMBsxUpVNSUYcRDQlO9QoNmlHND1gRTQlO9UoNm93JDEgNTAkH8E</vt:lpwstr>
  </property>
  <property fmtid="{D5CDD505-2E9C-101B-9397-08002B2CF9AE}" pid="1173" name="[MnYmTGxbRWto1b9]0:0">
    <vt:lpwstr>NDMlNTYiN8UoNnMnNn9qMlspH9Zj2XI5SbM5UGFd0bRd0a13SnQqH8pTVUpJR76ENDAuRDQqLE1oN7lFNDAuRTQqKSdINDY3JDEgMDAkH8E</vt:lpwstr>
  </property>
  <property fmtid="{D5CDD505-2E9C-101B-9397-08002B2CF9AE}" pid="1174" name="[MnYnTGxbRWto1b9]0:0">
    <vt:lpwstr>NDMlNTYiN8UoNn5kMD9mN6spH9Zj2XI5SbM5UGFd0bRd0a13SnQrO9gpMBsxUpVNSUYcRDQlO9QoNmlHND1gRTQlO9UoNm9eSDQrH7QlMCkpMDA3MQ</vt:lpwstr>
  </property>
  <property fmtid="{D5CDD505-2E9C-101B-9397-08002B2CF9AE}" pid="1175" name="[MnYoTGxbRWto1b9]0:0">
    <vt:lpwstr>NDMlNTYiN8UsMDIkODMnMlspH9Zj2XI5SbM5UGFd0bRd0a13T8QqH8pBV9VSQU2FSUYcJE19NDYuJE19NTAgJE19MTYuJE19MnUgR8EqO9YnNS93IoRJV7wkIRsl</vt:lpwstr>
  </property>
  <property fmtid="{D5CDD505-2E9C-101B-9397-08002B2CF9AE}" pid="1176" name="[MnYpTGxbRWto1b9]0:0">
    <vt:lpwstr>NDMlNTYiN8UsMTMqNT1oMRspH9Zj2XI5SbM5UGFd0bRd0a13T8QqH6s3MQ</vt:lpwstr>
  </property>
  <property fmtid="{D5CDD505-2E9C-101B-9397-08002B2CF9AE}" pid="1177" name="[MnYqTGxbRWto1b9]0:0">
    <vt:lpwstr>NDMlNTYiN8UsN8ImN85pM6spH9Zj2XI5SbM5UGFd0bRd0a13T8QqH8pBV9VSQU2FSUYcJE19MTYuJE19MnUgRnQqO91pMClGMTYdH8QtH8E</vt:lpwstr>
  </property>
  <property fmtid="{D5CDD505-2E9C-101B-9397-08002B2CF9AE}" pid="1178" name="[MnYrTGxbRWto1b9]0:0">
    <vt:lpwstr>NDMlNTYiN8UsN89mMTItN6spH9Zj2XI5SbM5UGFd0bRd0a13T8QrO9spMBsxQVZFU9FHRU-GKCRHJDEqO7RHJDMpLE1oNndHNTEgR8ErKRsoOBsl</vt:lpwstr>
  </property>
  <property fmtid="{D5CDD505-2E9C-101B-9397-08002B2CF9AE}" pid="1179" name="[MnYsTGxbRWto1b9]0:0">
    <vt:lpwstr>NDMlNTYiN89qNDEmMDMrH8E3Uq6j2mBB1rNd0a2hZWtoIG-iIEJm0r2nZXI</vt:lpwstr>
  </property>
  <property fmtid="{D5CDD505-2E9C-101B-9397-08002B2CF9AE}" pid="1180" name="[MnYtTGxbRWto1b9]0:0">
    <vt:lpwstr>NDMlNTYiNnAkM8UoN8ItN6spH9Zj2XI5SbM5UGFd0bRd0a13STEqH8pBT9QcRTEqPCBDMTYgSDEqP8EdH9ZBTFNFH8E</vt:lpwstr>
  </property>
  <property fmtid="{D5CDD505-2E9C-101B-9397-08002B2CF9AE}" pid="1181" name="[Mn1kTGxbRWto1b9]0:0">
    <vt:lpwstr>NDMlNTYiNnAkNnAqMDEsNRspH9Zj2XI5SbM5UGFd0bRd0a13STErO99nNRsxQUtEKEUlNnk5QnErLE5lNnslKRtGQUlTRRsl</vt:lpwstr>
  </property>
  <property fmtid="{D5CDD505-2E9C-101B-9397-08002B2CF9AE}" pid="1182" name="[Mn1lTGxbRWto1b9]0:0">
    <vt:lpwstr>NDMlNTYiNnAlM8EpM81rOBspH9Zj2XI5SbM5UGFd0bRd0a13S8EqH8pPU76IMTYyMmlHMTYyMm93R9FMUoU3MQ</vt:lpwstr>
  </property>
  <property fmtid="{D5CDD505-2E9C-101B-9397-08002B2CF9AE}" pid="1183" name="[Mn1mTGxbRWto1b9]0:0">
    <vt:lpwstr>NDMlNTYiNnAlM81nMTQsMRspH9Zj2XI5SbM5UGFd0bRd0a13S8ErO9cnNRsxTpIcSDErP8MgRnErP8MdH-RSVUU3MQ</vt:lpwstr>
  </property>
  <property fmtid="{D5CDD505-2E9C-101B-9397-08002B2CF9AE}" pid="1184" name="[Mn1nTGxbRWto1b9]0:0">
    <vt:lpwstr>NDMlNTYiNnAlOTIlM89qMlspH9Zj2XI5SbM5UGFd0bRd0a13S8EqH8pPU76IMTYyMmlHMTYxMm93R9FMUoU3MQ</vt:lpwstr>
  </property>
  <property fmtid="{D5CDD505-2E9C-101B-9397-08002B2CF9AE}" pid="1185" name="[Mn1oTGxbRWto1b9]0:0">
    <vt:lpwstr>NDMlNTYiNnAlOT1tMTYqNlspH9Zj2XI5SbM5UGFd0bRd0a13S8ErO9cnNRsxTpIcSDErP8MgRnErPTMdH9ZBTFNFH8E</vt:lpwstr>
  </property>
  <property fmtid="{D5CDD505-2E9C-101B-9397-08002B2CF9AE}" pid="1186" name="[Mn1pTGxbRWto1b9]0:0">
    <vt:lpwstr>NDMlNTYiNnApM8EtOTArNBspH9Zj2XI5SbM5UGFd0bRd0a13TDEqH8pJR76JMTYxVFJVRSlLMTYgMC93JDA3MQ</vt:lpwstr>
  </property>
  <property fmtid="{D5CDD505-2E9C-101B-9397-08002B2CF9AE}" pid="1187" name="[Mn1qTGxbRWto1b9]0:0">
    <vt:lpwstr>NDMlNTYiNnApM81rNn1rOBspH9Zj2XI5SbM5UGFd0bRd0a13TDErO9knNRsxSUYcSTErPVRSVUUgSnErLDAdH7QkH8E</vt:lpwstr>
  </property>
  <property fmtid="{D5CDD505-2E9C-101B-9397-08002B2CF9AE}" pid="1188" name="[Mn1rTGxbRWto1b9]0:0">
    <vt:lpwstr>NDMlNTYiNnAsOT9nMDUpN6spH9Zj2XI5SbM5UGFd0bRd0a13TTEqH8pJR76KMTYxVFJVRSlLMTYeTTEmLDAdH7QkH8E</vt:lpwstr>
  </property>
  <property fmtid="{D5CDD505-2E9C-101B-9397-08002B2CF9AE}" pid="1189" name="[Mn1sTGxbRWto1b9]0:0">
    <vt:lpwstr>NDMlNTYiNnEmN8MsOD5sORspH9Zj2XI5SbM5UGFd0bRd0a13TTErH6s3MQ</vt:lpwstr>
  </property>
  <property fmtid="{D5CDD505-2E9C-101B-9397-08002B2CF9AE}" pid="1190" name="[Mn1tTGxbRWto1b9]0:0">
    <vt:lpwstr>NDMlNTYiNnEmN81nN8ElMRspH9Zj2XI5SbM5UGFd0bRd0a13TTErO9onNRsxSUYcS8ErPVRSVUUgSnErK9olMmkkKRs9MBsl</vt:lpwstr>
  </property>
  <property fmtid="{D5CDD505-2E9C-101B-9397-08002B2CF9AE}" pid="1191" name="[Mn5kTGxbRWto1b9]0:0">
    <vt:lpwstr>NDMlNTYiNnEmN89qNnUtMlspH9Zj2XI5SbM5UGFd0bRd0a13TTErO9onNRs3H8E</vt:lpwstr>
  </property>
  <property fmtid="{D5CDD505-2E9C-101B-9397-08002B2CF9AE}" pid="1192" name="[Mn5lTGxbRWto1b9]0:0">
    <vt:lpwstr>NDMlNTYiNnEnNT5rOTYnH8U3Raxp17BK1mBQYW-i2G-iZltNMTY3PU-GKEclN8pUU-VFLEglN7dNMTIgMC93JDA3MQ</vt:lpwstr>
  </property>
  <property fmtid="{D5CDD505-2E9C-101B-9397-08002B2CF9AE}" pid="1193" name="[Mn5mTGxbRWto1b9]0:0">
    <vt:lpwstr>NDMlNTYiNnEnNnAnNnAnNlspH9Zj2XI5SbM5UGFd0bRd0a13TTErO9olORsxSUYcS8ErPVRSVUUgSnErK9olMmkkKRs9MBsl</vt:lpwstr>
  </property>
  <property fmtid="{D5CDD505-2E9C-101B-9397-08002B2CF9AE}" pid="1194" name="[Mn5nTGxbRWto1b9]0:0">
    <vt:lpwstr>NDMlNTYiNnEnOTAkNDYnH8U3Raxp17BK1mBQYW-i2G-iZltNM8AuTTMpH8pJR76KM8AxVFJVRSlLM8AeTTEqLDAdH7QkH8E</vt:lpwstr>
  </property>
  <property fmtid="{D5CDD505-2E9C-101B-9397-08002B2CF9AE}" pid="1195" name="[Mn5oTGxbRWto1b9]0:0">
    <vt:lpwstr>NDMlNTYiNn5tNT1lNnUtMlspH9Zj2XI5SbM5UGFd0bRd0a13TTEqH7AxH7AxH8E</vt:lpwstr>
  </property>
  <property fmtid="{D5CDD505-2E9C-101B-9397-08002B2CF9AE}" pid="1196" name="[Mn5pTGxbRWto1b9]0:0">
    <vt:lpwstr>NDMlNTYiNn5tNT9oOTArNBspH9Zj2XI5SbM5UGFd0bRd0a13TTEqH8pJR76KMTYxVFJVRSlLMTYeTTEmLDAdH7QkH8E</vt:lpwstr>
  </property>
  <property fmtid="{D5CDD505-2E9C-101B-9397-08002B2CF9AE}" pid="1197" name="[Mn5qTGxbRWto1b9]0:0">
    <vt:lpwstr>NDMlNTYiNn9kMTAoMTYqNlspH9Zj2XI5SbM5UGFd0bRd0a13TTEqH8pJR76KMTYxVFJVRSlLMTYeTTEmKRtGQUlTRRsl</vt:lpwstr>
  </property>
  <property fmtid="{D5CDD505-2E9C-101B-9397-08002B2CF9AE}" pid="1198" name="[Mn5rTGxbRWto1b9]0:0">
    <vt:lpwstr>NDMlNTYiNn9kM8YqM8AnNlspH9Zj2XI5SbM5UGFd0bRd0a13TTEqH8pJR76KMTYxVFJVRSlLMTYeTTEmLDAdH7QkH8E</vt:lpwstr>
  </property>
  <property fmtid="{D5CDD505-2E9C-101B-9397-08002B2CF9AE}" pid="1199" name="[Mn5sTGxbRWto1b9]0:0">
    <vt:lpwstr>NDMlNTYiNn9lM85oNnImM6spH9Zj2XI5SbM5UGFd0bRd0a13TTEqH8pJR76KMTYxVFJVRSkcSnEqK9olM79gMC93JDA3MQ</vt:lpwstr>
  </property>
  <property fmtid="{D5CDD505-2E9C-101B-9397-08002B2CF9AE}" pid="1200" name="[Mn5tTGxbRWto1b9]0:0">
    <vt:lpwstr>NDMlNTYiNn9lMnQmNT9mN6spH9Zj2XI5SbM5UGFd0bRd0a13TTErO9onNRsxSUYcS8ErPVRSVUUgKEglNmdNMTMdLDAdH7QkH8E</vt:lpwstr>
  </property>
  <property fmtid="{D5CDD505-2E9C-101B-9397-08002B2CF9AE}" pid="1201" name="[Mn9kTGxbRWto1b9]0:0">
    <vt:lpwstr>NDMlNTYiNn9lNTMtMnUlOBspH9Zj2XI5SbM5UGFd0bRd0a13TTEqH8pJR76KMTYxVFJVRSkcSnEqK7RNJDEmKSkkKRs9MBsl</vt:lpwstr>
  </property>
  <property fmtid="{D5CDD505-2E9C-101B-9397-08002B2CF9AE}" pid="1202" name="[Mn9lTGxbRWto1b9]0:0">
    <vt:lpwstr>NDMlNTYiNn9lNT5pN8QsMRspH9Zj2XI5SbM5UGFd0bRd0a13TTErO9onNRsxSUYcS8ErPVRSVUUgKEglNmc9TSQlM79gMC93JDA3MQ</vt:lpwstr>
  </property>
  <property fmtid="{D5CDD505-2E9C-101B-9397-08002B2CF9AE}" pid="1203" name="[Mn9mTGxbRWto1b9]0:0">
    <vt:lpwstr>NDMlNTYiNn9mNnEtOTArNBspH9Zj2XI5SbM5UGFd0bRd0a13TnEqH8pJR76FMTYwPUMlN8pUU-VFLCJH0qx9IEdjY7IgI-Rj0mBN2WNcIFRd0WU7KRtU0qw5TXV8_CBU_Wp-H8E</vt:lpwstr>
  </property>
  <property fmtid="{D5CDD505-2E9C-101B-9397-08002B2CF9AE}" pid="1204" name="[Mn9nTGxbRWto1b9]0:0">
    <vt:lpwstr>NDMlNTYiNn9mNn5tMnUlORspH9Zj2XI5SbM5UGFd0bRd0a13TnErO9wnNRsxSUYcRTErPDpDMT1xVFJVRSk7RqxjZCBK0qI7LCJU0qw5TXV8_CBU_Wp-I793RqxjZCBK0qI3MQ</vt:lpwstr>
  </property>
  <property fmtid="{D5CDD505-2E9C-101B-9397-08002B2CF9AE}" pid="1205" name="[Mn9oTGxbRWto1b9]0:0">
    <vt:lpwstr>NDMlNTYiNn9tOTQmMTItN6srH92j0q2gZRtH0qxb0GU5Qq661bQ5MRspMRtTRVJJRVMcLClH0qxb0GU6JEM9MTIuJEc9MTIgMS93NDAmH8ElMSsrNQ</vt:lpwstr>
  </property>
  <property fmtid="{D5CDD505-2E9C-101B-9397-08002B2CF9AE}" pid="1206" name="[Mn9pTGxbRWto1b9]0:0">
    <vt:lpwstr>NDMlNTYiODAlNnEmOTYnH813RqxjZql-H92j0q2gZSBD_GFm2CAmH8UmH-NFU9-FUm5gLE2j0q2gZSE9QmQsO7RKJD5gMS93M89pL8EmND9qOTQsM8QmM6slMTEiNnU</vt:lpwstr>
  </property>
  <property fmtid="{D5CDD505-2E9C-101B-9397-08002B2CF9AE}" pid="1207" name="[Mn9qTGxbRWto1b9]0:0">
    <vt:lpwstr>NDMlNTYiODAmN85pMT5pM6srH92j0q2gZRtH0qxb0GU5Qq661bQ5MlspH-NFU9-FUm5gLE2j0q2gZSE9S7QlN8c9S7QlOCklKRsmOTUiMTIoOTYtND5mNDImH8ElMSsrNQ</vt:lpwstr>
  </property>
  <property fmtid="{D5CDD505-2E9C-101B-9397-08002B2CF9AE}" pid="1208" name="[Mn9rTGxbRWto1b9]0:0">
    <vt:lpwstr>NDMlNTYiODAqNDMpMT5pM6spH92j0q2gZRtKMTY3MT9oNDM3JDEtLDQoMlsl</vt:lpwstr>
  </property>
  <property fmtid="{D5CDD505-2E9C-101B-9397-08002B2CF9AE}" pid="1209" name="[Mn9sTGxbRWto1b9]0:0">
    <vt:lpwstr>NDMlNTYiODAqNDMpMT5pM6spH92j0q2gZRtKMTY3MT9oNDM3JDEtLDQoMlsl</vt:lpwstr>
  </property>
  <property fmtid="{D5CDD505-2E9C-101B-9397-08002B2CF9AE}" pid="1210" name="[Mn9tTGxbRWto1b9]0:0">
    <vt:lpwstr>NDMlNTYiODAqODErMTItN6srH92j0q2gZRtH0qxb0GU5Qq661bQ5NBsoH-NFU9-FUm5gLE2j0q2gZSE9QmQlOTc9S7QlOSklKRsmOTUiMTIoOTYtND5mNDImH8InMmsmNQ</vt:lpwstr>
  </property>
  <property fmtid="{D5CDD505-2E9C-101B-9397-08002B2CF9AE}" pid="1211" name="[NDAkTGxbRWto1b9]0:0">
    <vt:lpwstr>NDMlNTYiODAtNn9lN8YqNlspH-NkZWt9_WtbH9QlMBsxTEVOKEQtKRsmOBsl</vt:lpwstr>
  </property>
  <property fmtid="{D5CDD505-2E9C-101B-9397-08002B2CF9AE}" pid="1212" name="[NDAlTGxbRWto1b9]0:0">
    <vt:lpwstr>NDMlNTYiODEkMT1nN8ElMRspH-NkZWt9_WtbH9QlMRsxUoVBU9NIKCI8I7lEOS93M8M3MQ</vt:lpwstr>
  </property>
  <property fmtid="{D5CDD505-2E9C-101B-9397-08002B2CF9AE}" pid="1213" name="[NDAmTGxbRWto1b9]0:0">
    <vt:lpwstr>NDMlNTYiODEkMnUsNn9qMlspH-NkZWt9_WtbH9QlM6sxUoVBU9NIKCI9I7lEMTIdH8A3MQ</vt:lpwstr>
  </property>
  <property fmtid="{D5CDD505-2E9C-101B-9397-08002B2CF9AE}" pid="1214" name="[NDAnTGxbRWto1b9]0:0">
    <vt:lpwstr>NDMlNTYiODEkNTYrMTItN6spH-NkZWt9_WtbH9QlM6sxUoVBU9NIKCI9I7lEOS93ORsl</vt:lpwstr>
  </property>
  <property fmtid="{D5CDD505-2E9C-101B-9397-08002B2CF9AE}" pid="1215" name="[NDAoTGxbRWto1b9]0:0">
    <vt:lpwstr>NDMlNTYiODElM89qM89qMlspH-NkZWt9_WtbH9QlMlsxTEVGVC57SSBn1GVi2CA9I7lEMTIdH9951rB-0bQ5JBsl</vt:lpwstr>
  </property>
  <property fmtid="{D5CDD505-2E9C-101B-9397-08002B2CF9AE}" pid="1216" name="[NDApTGxbRWto1b9]0:0">
    <vt:lpwstr>NDMlNTYiODEnNTUnM8QkNlspH-NkZWt9_WtbH9QlNBs3H8E</vt:lpwstr>
  </property>
</Properties>
</file>